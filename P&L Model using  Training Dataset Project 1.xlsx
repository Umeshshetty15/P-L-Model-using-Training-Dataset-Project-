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 Files\Courses\Financial Modelling\"/>
    </mc:Choice>
  </mc:AlternateContent>
  <xr:revisionPtr revIDLastSave="0" documentId="13_ncr:1_{23FC6C91-2903-4C5C-A9B8-30FE81040703}" xr6:coauthVersionLast="47" xr6:coauthVersionMax="47" xr10:uidLastSave="{00000000-0000-0000-0000-000000000000}"/>
  <bookViews>
    <workbookView xWindow="-108" yWindow="-108" windowWidth="23256" windowHeight="12456" xr2:uid="{8F90A3AE-CE5F-4D1E-AF9E-316777BFF272}"/>
  </bookViews>
  <sheets>
    <sheet name="Index" sheetId="1" r:id="rId1"/>
    <sheet name="1.1 FY2024" sheetId="3" r:id="rId2"/>
    <sheet name="1.2 FY2025" sheetId="7" r:id="rId3"/>
    <sheet name="1.3 FY2026" sheetId="8" r:id="rId4"/>
    <sheet name="Database" sheetId="9" r:id="rId5"/>
    <sheet name="P&amp;L Model" sheetId="10" r:id="rId6"/>
    <sheet name="Charts ---&gt;" sheetId="14" r:id="rId7"/>
    <sheet name="Column Chart" sheetId="11" r:id="rId8"/>
    <sheet name="Line chart" sheetId="12" r:id="rId9"/>
    <sheet name="Stacked Column chart" sheetId="13" r:id="rId10"/>
  </sheets>
  <externalReferences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8" i="13" l="1"/>
  <c r="C7" i="13" a="1"/>
  <c r="C7" i="13" s="1"/>
  <c r="C6" i="13"/>
  <c r="C4" i="13"/>
  <c r="C5" i="13"/>
  <c r="D6" i="12"/>
  <c r="E6" i="12"/>
  <c r="D5" i="12"/>
  <c r="E5" i="12"/>
  <c r="D4" i="12"/>
  <c r="E4" i="12"/>
  <c r="C5" i="12"/>
  <c r="C6" i="12"/>
  <c r="C4" i="12"/>
  <c r="D7" i="11"/>
  <c r="E7" i="11"/>
  <c r="C7" i="11"/>
  <c r="C5" i="11"/>
  <c r="D5" i="11"/>
  <c r="E5" i="11"/>
  <c r="C6" i="11"/>
  <c r="D6" i="11"/>
  <c r="E6" i="11"/>
  <c r="D4" i="11"/>
  <c r="E4" i="11"/>
  <c r="C4" i="11"/>
  <c r="E5" i="10"/>
  <c r="E6" i="10"/>
  <c r="E8" i="10"/>
  <c r="E10" i="10"/>
  <c r="E11" i="10"/>
  <c r="E12" i="10"/>
  <c r="E13" i="10"/>
  <c r="E14" i="10"/>
  <c r="H14" i="10" s="1"/>
  <c r="E15" i="10"/>
  <c r="E16" i="10"/>
  <c r="E18" i="10"/>
  <c r="E20" i="10"/>
  <c r="E21" i="10"/>
  <c r="E23" i="10"/>
  <c r="E24" i="10"/>
  <c r="E4" i="10"/>
  <c r="E7" i="10" s="1"/>
  <c r="E9" i="10" s="1"/>
  <c r="E17" i="10" s="1"/>
  <c r="D5" i="10"/>
  <c r="D6" i="10"/>
  <c r="D8" i="10"/>
  <c r="D10" i="10"/>
  <c r="D11" i="10"/>
  <c r="D12" i="10"/>
  <c r="D13" i="10"/>
  <c r="D14" i="10"/>
  <c r="D15" i="10"/>
  <c r="D16" i="10"/>
  <c r="D18" i="10"/>
  <c r="D20" i="10"/>
  <c r="D21" i="10"/>
  <c r="D23" i="10"/>
  <c r="D24" i="10"/>
  <c r="D4" i="10"/>
  <c r="C24" i="10"/>
  <c r="C10" i="10"/>
  <c r="G10" i="10" s="1"/>
  <c r="C11" i="10"/>
  <c r="C12" i="10"/>
  <c r="C13" i="10"/>
  <c r="C14" i="10"/>
  <c r="C15" i="10"/>
  <c r="C16" i="10"/>
  <c r="G16" i="10" s="1"/>
  <c r="C18" i="10"/>
  <c r="C20" i="10"/>
  <c r="C21" i="10"/>
  <c r="C23" i="10"/>
  <c r="G23" i="10" s="1"/>
  <c r="C8" i="10"/>
  <c r="G8" i="10" s="1"/>
  <c r="C5" i="10"/>
  <c r="C6" i="10"/>
  <c r="G6" i="10" s="1"/>
  <c r="C4" i="10"/>
  <c r="C7" i="10" s="1"/>
  <c r="C9" i="10" s="1"/>
  <c r="C17" i="10" s="1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4" i="9"/>
  <c r="E30" i="10"/>
  <c r="D30" i="10"/>
  <c r="C30" i="10"/>
  <c r="H23" i="10"/>
  <c r="H18" i="10"/>
  <c r="H16" i="10"/>
  <c r="G15" i="10"/>
  <c r="G14" i="10"/>
  <c r="H10" i="10"/>
  <c r="H8" i="10"/>
  <c r="H6" i="10"/>
  <c r="G18" i="10" l="1"/>
  <c r="C19" i="10"/>
  <c r="C22" i="10" s="1"/>
  <c r="E19" i="10"/>
  <c r="E22" i="10" s="1"/>
  <c r="G13" i="10"/>
  <c r="H13" i="10"/>
  <c r="G21" i="10"/>
  <c r="G11" i="10"/>
  <c r="H21" i="10"/>
  <c r="D7" i="10"/>
  <c r="D9" i="10" s="1"/>
  <c r="D17" i="10" s="1"/>
  <c r="D19" i="10" s="1"/>
  <c r="D22" i="10" s="1"/>
  <c r="H15" i="10"/>
  <c r="H5" i="10"/>
  <c r="G12" i="10"/>
  <c r="G20" i="10"/>
  <c r="H11" i="10"/>
  <c r="H12" i="10"/>
  <c r="H20" i="10"/>
  <c r="H4" i="10"/>
  <c r="G5" i="10"/>
  <c r="C27" i="10"/>
  <c r="G4" i="10"/>
  <c r="E27" i="10" l="1"/>
  <c r="H7" i="10"/>
  <c r="C28" i="10"/>
  <c r="G7" i="10"/>
  <c r="E28" i="10"/>
  <c r="G9" i="10" l="1"/>
  <c r="D27" i="10"/>
  <c r="H9" i="10"/>
  <c r="C29" i="10"/>
  <c r="C31" i="10"/>
  <c r="E29" i="10"/>
  <c r="D28" i="10" l="1"/>
  <c r="G17" i="10"/>
  <c r="H17" i="10"/>
  <c r="E31" i="10" l="1"/>
  <c r="G19" i="10"/>
  <c r="D29" i="10"/>
  <c r="H19" i="10"/>
  <c r="G22" i="10" l="1"/>
  <c r="H22" i="10"/>
  <c r="G24" i="10" l="1"/>
  <c r="D31" i="10"/>
  <c r="H24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<sst xmlns="http://schemas.openxmlformats.org/spreadsheetml/2006/main" count="1119" uniqueCount="261">
  <si>
    <t>Sheet index</t>
  </si>
  <si>
    <t>Sheet No</t>
  </si>
  <si>
    <t>Worksheet</t>
  </si>
  <si>
    <t>Notes</t>
  </si>
  <si>
    <t>Index</t>
  </si>
  <si>
    <t>1. P&amp;L extractions --&gt;</t>
  </si>
  <si>
    <t>1.1 FY2024</t>
  </si>
  <si>
    <t>1.2 FY2025</t>
  </si>
  <si>
    <t>1.3 FY2026</t>
  </si>
  <si>
    <t>2. Functions --&gt;</t>
  </si>
  <si>
    <t>2.1 Database</t>
  </si>
  <si>
    <t>2.2 P&amp;L statement</t>
  </si>
  <si>
    <t>3. Charts</t>
  </si>
  <si>
    <t>FY2024</t>
  </si>
  <si>
    <t>Code</t>
  </si>
  <si>
    <t>P&amp;L account</t>
  </si>
  <si>
    <t>Partner company</t>
  </si>
  <si>
    <t>Name of partner company</t>
  </si>
  <si>
    <t>Amounts</t>
  </si>
  <si>
    <t>Account number</t>
  </si>
  <si>
    <t>2001110000111111</t>
  </si>
  <si>
    <t>Core business revenues</t>
  </si>
  <si>
    <t>External</t>
  </si>
  <si>
    <t>2001190000111111</t>
  </si>
  <si>
    <t>Other revenues</t>
  </si>
  <si>
    <t>20200000001009</t>
  </si>
  <si>
    <t>Capitalized costs</t>
  </si>
  <si>
    <t>Green Ventures Ltd</t>
  </si>
  <si>
    <t>20200000001007</t>
  </si>
  <si>
    <t>Generco Sunshine JSC</t>
  </si>
  <si>
    <t>20200000001008</t>
  </si>
  <si>
    <t>Greenco Ltd</t>
  </si>
  <si>
    <t>2020000000111101</t>
  </si>
  <si>
    <t>Not assigned</t>
  </si>
  <si>
    <t>2021900000111111</t>
  </si>
  <si>
    <t>Direct costs</t>
  </si>
  <si>
    <t>2024080000111111</t>
  </si>
  <si>
    <t>Freight outbound expenses</t>
  </si>
  <si>
    <t>202409000088</t>
  </si>
  <si>
    <t>R&amp;D expenses</t>
  </si>
  <si>
    <t>Generco Ltd</t>
  </si>
  <si>
    <t>2024090000111111</t>
  </si>
  <si>
    <t>2041000000111111</t>
  </si>
  <si>
    <t>Wages and salaries</t>
  </si>
  <si>
    <t>2042000000111101</t>
  </si>
  <si>
    <t>Pension contributions</t>
  </si>
  <si>
    <t>204200000088</t>
  </si>
  <si>
    <t>2045000000111101</t>
  </si>
  <si>
    <t>Severance indemnity contribution</t>
  </si>
  <si>
    <t>2051210000111101</t>
  </si>
  <si>
    <t>D&amp;A</t>
  </si>
  <si>
    <t>20512100001</t>
  </si>
  <si>
    <t>20690100001</t>
  </si>
  <si>
    <t>Corporate recharges</t>
  </si>
  <si>
    <t>1</t>
  </si>
  <si>
    <t>Greeny Ltd</t>
  </si>
  <si>
    <t>206901000014</t>
  </si>
  <si>
    <t>Generco Cosmetics Ltd</t>
  </si>
  <si>
    <t>20690100001037</t>
  </si>
  <si>
    <t>Generco Canada JSC</t>
  </si>
  <si>
    <t>20690100001087</t>
  </si>
  <si>
    <t>1087</t>
  </si>
  <si>
    <t>Gener Beauty GmbH</t>
  </si>
  <si>
    <t>20690100001009</t>
  </si>
  <si>
    <t>20690100001007</t>
  </si>
  <si>
    <t>20690100001008</t>
  </si>
  <si>
    <t>20690100001240</t>
  </si>
  <si>
    <t xml:space="preserve">Generco UK </t>
  </si>
  <si>
    <t>2069010000111111</t>
  </si>
  <si>
    <t>2069980000111111</t>
  </si>
  <si>
    <t>Other income</t>
  </si>
  <si>
    <t>2070400000111111</t>
  </si>
  <si>
    <t>Marketing expenses</t>
  </si>
  <si>
    <t>207050000088</t>
  </si>
  <si>
    <t>Software&amp;IT</t>
  </si>
  <si>
    <t>2070500000111111</t>
  </si>
  <si>
    <t>2070600000111111</t>
  </si>
  <si>
    <t>Leasings</t>
  </si>
  <si>
    <t>207090000043</t>
  </si>
  <si>
    <t>Service expenses</t>
  </si>
  <si>
    <t>43</t>
  </si>
  <si>
    <t>Greeny France SL</t>
  </si>
  <si>
    <t>20709000002240</t>
  </si>
  <si>
    <t>2240</t>
  </si>
  <si>
    <t>Greeny Germany GmbH</t>
  </si>
  <si>
    <t>2070900000111111</t>
  </si>
  <si>
    <t>2071000000111111</t>
  </si>
  <si>
    <t>Charges and contributions</t>
  </si>
  <si>
    <t>2071100000111111</t>
  </si>
  <si>
    <t>Insurance expenses</t>
  </si>
  <si>
    <t>2071209200111111</t>
  </si>
  <si>
    <t>Travel expenses</t>
  </si>
  <si>
    <t>2071209400111111</t>
  </si>
  <si>
    <t>Utility expenses</t>
  </si>
  <si>
    <t>2071209500111111</t>
  </si>
  <si>
    <t>Legal expenses</t>
  </si>
  <si>
    <t>2071980000111101</t>
  </si>
  <si>
    <t>Misc costs</t>
  </si>
  <si>
    <t>2079022000111111</t>
  </si>
  <si>
    <t>Consulting fees</t>
  </si>
  <si>
    <t>2079070000105</t>
  </si>
  <si>
    <t>Misc extraordinary expenses</t>
  </si>
  <si>
    <t>Generco Healthcare Ltd</t>
  </si>
  <si>
    <t>2079070000111111</t>
  </si>
  <si>
    <t>20790800001009</t>
  </si>
  <si>
    <t>Difference from eliminations</t>
  </si>
  <si>
    <t>20790800001007</t>
  </si>
  <si>
    <t>20790800001008</t>
  </si>
  <si>
    <t>20822800001009</t>
  </si>
  <si>
    <t>Interest income</t>
  </si>
  <si>
    <t>20822800001007</t>
  </si>
  <si>
    <t>20822800001008</t>
  </si>
  <si>
    <t>20822800001240</t>
  </si>
  <si>
    <t>2082280000111111</t>
  </si>
  <si>
    <t>2082202000111101</t>
  </si>
  <si>
    <t>Capitalized interest</t>
  </si>
  <si>
    <t>2082208200111101</t>
  </si>
  <si>
    <t>Non-recurring costs</t>
  </si>
  <si>
    <t>208221400088</t>
  </si>
  <si>
    <t>Interest expenses</t>
  </si>
  <si>
    <t>2091200000111101</t>
  </si>
  <si>
    <t>Current taxes</t>
  </si>
  <si>
    <t>2091200001111101</t>
  </si>
  <si>
    <t>Regional taxes</t>
  </si>
  <si>
    <t>2092200000111101</t>
  </si>
  <si>
    <t>Deferred taxes</t>
  </si>
  <si>
    <t>2999999999111101</t>
  </si>
  <si>
    <t>Net income/(loss)</t>
  </si>
  <si>
    <t>FY2025</t>
  </si>
  <si>
    <t>2001110000105</t>
  </si>
  <si>
    <t>20200000001086</t>
  </si>
  <si>
    <t>1086</t>
  </si>
  <si>
    <t>G&amp;Resources Ltd</t>
  </si>
  <si>
    <t>2021210000111111</t>
  </si>
  <si>
    <t>Utility charges</t>
  </si>
  <si>
    <t>202409000019</t>
  </si>
  <si>
    <t>20240900001283</t>
  </si>
  <si>
    <t>1283</t>
  </si>
  <si>
    <t>Generco Ventures Ltd</t>
  </si>
  <si>
    <t>20240900001924</t>
  </si>
  <si>
    <t>1924</t>
  </si>
  <si>
    <t>Generco Infrastructure Ltd</t>
  </si>
  <si>
    <t>20240900002486</t>
  </si>
  <si>
    <t>2486</t>
  </si>
  <si>
    <t>Generco Exloration Ltd</t>
  </si>
  <si>
    <t>Social security payments</t>
  </si>
  <si>
    <t>2049000000111101</t>
  </si>
  <si>
    <t>Other personnel expenses</t>
  </si>
  <si>
    <t>2051260000111101</t>
  </si>
  <si>
    <t>2060220000111111</t>
  </si>
  <si>
    <t>Gains from disposal of PP&amp;E</t>
  </si>
  <si>
    <t>206901000019</t>
  </si>
  <si>
    <t>20690100001076</t>
  </si>
  <si>
    <t>1076</t>
  </si>
  <si>
    <t>Generco Trading Ltd</t>
  </si>
  <si>
    <t>20690100001086</t>
  </si>
  <si>
    <t>Generco Semiconductors Ltd</t>
  </si>
  <si>
    <t>206901000047037</t>
  </si>
  <si>
    <t>47037</t>
  </si>
  <si>
    <t>G&amp;CR Global Ltd</t>
  </si>
  <si>
    <t>206998000088</t>
  </si>
  <si>
    <t>2070290000111101</t>
  </si>
  <si>
    <t>Concession fees other</t>
  </si>
  <si>
    <t>2070900000105</t>
  </si>
  <si>
    <t>20711000001900</t>
  </si>
  <si>
    <t>Generco Metals Gm</t>
  </si>
  <si>
    <t>20712092001118</t>
  </si>
  <si>
    <t>1118</t>
  </si>
  <si>
    <t>Gener Green LLC</t>
  </si>
  <si>
    <t>2071220000111111</t>
  </si>
  <si>
    <t>Losses fr disposal of PPE</t>
  </si>
  <si>
    <t>207151100019</t>
  </si>
  <si>
    <t>Other operative currency differences</t>
  </si>
  <si>
    <t>2071511000111111</t>
  </si>
  <si>
    <t>2071910000111111</t>
  </si>
  <si>
    <t>Property tax</t>
  </si>
  <si>
    <t>207907000019</t>
  </si>
  <si>
    <t>207907000043</t>
  </si>
  <si>
    <t>20790700001924</t>
  </si>
  <si>
    <t>20790800001086</t>
  </si>
  <si>
    <t>20822800001086</t>
  </si>
  <si>
    <t>20822800001006</t>
  </si>
  <si>
    <t>Generco Mining GmbH</t>
  </si>
  <si>
    <t>20822140001007</t>
  </si>
  <si>
    <t>2082214000111111</t>
  </si>
  <si>
    <t>20821100001240</t>
  </si>
  <si>
    <t>Impairment of participation</t>
  </si>
  <si>
    <t>2091900000111101</t>
  </si>
  <si>
    <t>Quarterly changes in current taxes</t>
  </si>
  <si>
    <t>2111111999111101</t>
  </si>
  <si>
    <t>FY2026</t>
  </si>
  <si>
    <t xml:space="preserve">Utility charges </t>
  </si>
  <si>
    <t>2024020000111111</t>
  </si>
  <si>
    <t>Operating expenses for utilities</t>
  </si>
  <si>
    <t>20240900002185</t>
  </si>
  <si>
    <t>2185</t>
  </si>
  <si>
    <t>Generco Green Projects GmbH</t>
  </si>
  <si>
    <t>20240900002240</t>
  </si>
  <si>
    <t>202409000017000</t>
  </si>
  <si>
    <t>Generco Risk Management Ltd</t>
  </si>
  <si>
    <t>20604410001118</t>
  </si>
  <si>
    <t>2060441000111111</t>
  </si>
  <si>
    <t>20690100001006</t>
  </si>
  <si>
    <t>2069020000111111</t>
  </si>
  <si>
    <t>Reimbursements+compensation for damages</t>
  </si>
  <si>
    <t>2069980000105</t>
  </si>
  <si>
    <t>2070600000105</t>
  </si>
  <si>
    <t>207110000088</t>
  </si>
  <si>
    <t>2071209100111111</t>
  </si>
  <si>
    <t>Repairs/Maintenance costs</t>
  </si>
  <si>
    <t>2082110000111101</t>
  </si>
  <si>
    <t>2111111997111101</t>
  </si>
  <si>
    <t>Offset segments (tech.)</t>
  </si>
  <si>
    <t>Creating a "Database"</t>
  </si>
  <si>
    <t>FY24</t>
  </si>
  <si>
    <t>FY25</t>
  </si>
  <si>
    <t>FY26</t>
  </si>
  <si>
    <t>Mapping</t>
  </si>
  <si>
    <t>Net Sales</t>
  </si>
  <si>
    <t>Other operating expenses</t>
  </si>
  <si>
    <t>Personnel expenses</t>
  </si>
  <si>
    <t>Recharges</t>
  </si>
  <si>
    <t>Leasing</t>
  </si>
  <si>
    <t>Services</t>
  </si>
  <si>
    <t>Travel costs</t>
  </si>
  <si>
    <t>Financial items</t>
  </si>
  <si>
    <t>Extraordinary items</t>
  </si>
  <si>
    <t>Taxes</t>
  </si>
  <si>
    <t>Net Income</t>
  </si>
  <si>
    <t>Net sales</t>
  </si>
  <si>
    <t>P&amp;L Statement</t>
  </si>
  <si>
    <t>EUR in millions</t>
  </si>
  <si>
    <t>Var%
FY24-FY25</t>
  </si>
  <si>
    <t>Var%
FY25-FY26</t>
  </si>
  <si>
    <t>Total revenues</t>
  </si>
  <si>
    <t>Gross margin</t>
  </si>
  <si>
    <t>EBITDA</t>
  </si>
  <si>
    <t>EBIT</t>
  </si>
  <si>
    <t>EBT</t>
  </si>
  <si>
    <t>KPIs</t>
  </si>
  <si>
    <t>GM%</t>
  </si>
  <si>
    <t>EBITDA%</t>
  </si>
  <si>
    <t>EBIT%</t>
  </si>
  <si>
    <t>Net income</t>
  </si>
  <si>
    <t>Check</t>
  </si>
  <si>
    <t>Checking the Mapping</t>
  </si>
  <si>
    <t>-</t>
  </si>
  <si>
    <t>Column Chart</t>
  </si>
  <si>
    <t>Gross Margin</t>
  </si>
  <si>
    <t>Line chart</t>
  </si>
  <si>
    <t>Changes in Revenue</t>
  </si>
  <si>
    <t>Changes in Variable cost</t>
  </si>
  <si>
    <t>Change in Opex</t>
  </si>
  <si>
    <t>EBITDA  FY 25</t>
  </si>
  <si>
    <t>EBITDA  FY 26</t>
  </si>
  <si>
    <t>Stacked Column chart</t>
  </si>
  <si>
    <t>Charts ---&gt;</t>
  </si>
  <si>
    <t>P&amp;L Model  using  Training Dataset</t>
  </si>
  <si>
    <t>3.1 Column Chart</t>
  </si>
  <si>
    <t>3.2 Line chart</t>
  </si>
  <si>
    <t>3.3 Stacked Column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</si>
</sst>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theme="3"/>
      <name val="Aptos Narrow"/>
      <family val="2"/>
      <scheme val="minor"/>
    </font>
    <font>
      <sz val="9"/>
      <color theme="1"/>
      <name val="Amasis MT Pro"/>
      <family val="1"/>
    </font>
    <font>
      <sz val="11"/>
      <color theme="1"/>
      <name val="Amasis MT Pro"/>
      <family val="1"/>
    </font>
    <font>
      <b/>
      <sz val="16"/>
      <color rgb="FF002060"/>
      <name val="Amasis MT Pro"/>
      <family val="1"/>
    </font>
    <font>
      <b/>
      <sz val="11"/>
      <color rgb="FF002060"/>
      <name val="Amasis MT Pro"/>
      <family val="1"/>
    </font>
    <font>
      <b/>
      <sz val="12"/>
      <name val="Amasis MT Pro"/>
      <family val="1"/>
    </font>
    <font>
      <sz val="12"/>
      <name val="Amasis MT Pro"/>
      <family val="1"/>
    </font>
    <font>
      <b/>
      <sz val="12"/>
      <color theme="0"/>
      <name val="Amasis MT Pro"/>
      <family val="1"/>
    </font>
    <font>
      <sz val="12"/>
      <color theme="0"/>
      <name val="Amasis MT Pro"/>
      <family val="1"/>
    </font>
    <font>
      <sz val="12"/>
      <color theme="1"/>
      <name val="Amasis MT Pro"/>
      <family val="1"/>
    </font>
    <font>
      <b/>
      <sz val="12"/>
      <color theme="1"/>
      <name val="Amasis MT Pro"/>
      <family val="1"/>
    </font>
    <font>
      <b/>
      <sz val="16"/>
      <color theme="3" tint="-0.499984740745262"/>
      <name val="Amasis MT Pro"/>
      <family val="1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48"/>
      <color rgb="FF002060"/>
      <name val="Amasis MT Pro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Fill="0" applyProtection="0">
      <alignment horizontal="right" wrapText="1"/>
    </xf>
    <xf numFmtId="164" fontId="1" fillId="0" borderId="0" applyFont="0" applyFill="0" applyBorder="0" applyAlignment="0" applyProtection="0"/>
  </cellStyleXfs>
  <cellXfs count="63">
    <xf numFmtId="0" fontId="0" fillId="0" borderId="0" xfId="0"/>
    <xf numFmtId="0" fontId="4" fillId="2" borderId="0" xfId="0" applyFont="1" applyFill="1"/>
    <xf numFmtId="0" fontId="5" fillId="2" borderId="0" xfId="0" applyFont="1" applyFill="1"/>
    <xf numFmtId="0" fontId="4" fillId="2" borderId="0" xfId="0" applyFont="1" applyFill="1" applyAlignment="1">
      <alignment horizontal="left"/>
    </xf>
    <xf numFmtId="0" fontId="6" fillId="2" borderId="0" xfId="0" applyFont="1" applyFill="1"/>
    <xf numFmtId="0" fontId="7" fillId="2" borderId="0" xfId="0" applyFont="1" applyFill="1"/>
    <xf numFmtId="0" fontId="9" fillId="2" borderId="2" xfId="0" applyFont="1" applyFill="1" applyBorder="1" applyAlignment="1">
      <alignment horizontal="left"/>
    </xf>
    <xf numFmtId="0" fontId="9" fillId="2" borderId="2" xfId="2" applyFont="1" applyFill="1" applyBorder="1"/>
    <xf numFmtId="0" fontId="9" fillId="2" borderId="2" xfId="0" applyFont="1" applyFill="1" applyBorder="1"/>
    <xf numFmtId="0" fontId="10" fillId="3" borderId="2" xfId="0" applyFont="1" applyFill="1" applyBorder="1" applyAlignment="1">
      <alignment horizontal="left"/>
    </xf>
    <xf numFmtId="0" fontId="10" fillId="3" borderId="2" xfId="0" applyFont="1" applyFill="1" applyBorder="1"/>
    <xf numFmtId="0" fontId="11" fillId="3" borderId="2" xfId="0" applyFont="1" applyFill="1" applyBorder="1" applyAlignment="1">
      <alignment horizontal="left"/>
    </xf>
    <xf numFmtId="0" fontId="11" fillId="3" borderId="2" xfId="0" applyFont="1" applyFill="1" applyBorder="1"/>
    <xf numFmtId="0" fontId="8" fillId="2" borderId="2" xfId="3" applyFont="1" applyFill="1" applyBorder="1" applyAlignment="1">
      <alignment horizontal="center" vertical="center" wrapText="1"/>
    </xf>
    <xf numFmtId="0" fontId="12" fillId="2" borderId="2" xfId="0" applyFont="1" applyFill="1" applyBorder="1"/>
    <xf numFmtId="49" fontId="12" fillId="2" borderId="2" xfId="0" applyNumberFormat="1" applyFont="1" applyFill="1" applyBorder="1"/>
    <xf numFmtId="165" fontId="12" fillId="2" borderId="2" xfId="4" applyNumberFormat="1" applyFont="1" applyFill="1" applyBorder="1" applyAlignment="1"/>
    <xf numFmtId="0" fontId="12" fillId="2" borderId="0" xfId="0" applyFont="1" applyFill="1"/>
    <xf numFmtId="0" fontId="12" fillId="2" borderId="2" xfId="0" applyFont="1" applyFill="1" applyBorder="1" applyAlignment="1">
      <alignment horizontal="left"/>
    </xf>
    <xf numFmtId="165" fontId="12" fillId="2" borderId="2" xfId="4" applyNumberFormat="1" applyFont="1" applyFill="1" applyBorder="1" applyAlignment="1">
      <alignment horizontal="left"/>
    </xf>
    <xf numFmtId="0" fontId="12" fillId="2" borderId="0" xfId="0" applyFont="1" applyFill="1" applyAlignment="1">
      <alignment horizontal="left"/>
    </xf>
    <xf numFmtId="0" fontId="12" fillId="2" borderId="0" xfId="0" applyFont="1" applyFill="1" applyAlignment="1">
      <alignment horizontal="center"/>
    </xf>
    <xf numFmtId="0" fontId="12" fillId="2" borderId="2" xfId="0" applyFont="1" applyFill="1" applyBorder="1" applyAlignment="1">
      <alignment horizontal="center" vertical="center"/>
    </xf>
    <xf numFmtId="165" fontId="12" fillId="2" borderId="2" xfId="4" applyNumberFormat="1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/>
    </xf>
    <xf numFmtId="165" fontId="12" fillId="2" borderId="2" xfId="4" applyNumberFormat="1" applyFont="1" applyFill="1" applyBorder="1" applyAlignment="1">
      <alignment horizontal="center"/>
    </xf>
    <xf numFmtId="166" fontId="12" fillId="2" borderId="0" xfId="0" applyNumberFormat="1" applyFont="1" applyFill="1"/>
    <xf numFmtId="167" fontId="12" fillId="2" borderId="3" xfId="1" applyNumberFormat="1" applyFont="1" applyFill="1" applyBorder="1" applyAlignment="1">
      <alignment horizontal="right"/>
    </xf>
    <xf numFmtId="167" fontId="13" fillId="2" borderId="3" xfId="1" applyNumberFormat="1" applyFont="1" applyFill="1" applyBorder="1" applyAlignment="1">
      <alignment horizontal="right"/>
    </xf>
    <xf numFmtId="166" fontId="13" fillId="2" borderId="4" xfId="0" applyNumberFormat="1" applyFont="1" applyFill="1" applyBorder="1"/>
    <xf numFmtId="167" fontId="13" fillId="2" borderId="4" xfId="1" applyNumberFormat="1" applyFont="1" applyFill="1" applyBorder="1" applyAlignment="1">
      <alignment horizontal="right"/>
    </xf>
    <xf numFmtId="0" fontId="13" fillId="4" borderId="0" xfId="0" applyFont="1" applyFill="1"/>
    <xf numFmtId="166" fontId="12" fillId="4" borderId="0" xfId="0" applyNumberFormat="1" applyFont="1" applyFill="1"/>
    <xf numFmtId="9" fontId="12" fillId="4" borderId="0" xfId="1" applyFont="1" applyFill="1" applyBorder="1"/>
    <xf numFmtId="166" fontId="12" fillId="5" borderId="0" xfId="0" applyNumberFormat="1" applyFont="1" applyFill="1"/>
    <xf numFmtId="0" fontId="14" fillId="2" borderId="0" xfId="0" applyFont="1" applyFill="1"/>
    <xf numFmtId="166" fontId="12" fillId="2" borderId="3" xfId="0" applyNumberFormat="1" applyFont="1" applyFill="1" applyBorder="1"/>
    <xf numFmtId="167" fontId="12" fillId="2" borderId="0" xfId="1" applyNumberFormat="1" applyFont="1" applyFill="1" applyBorder="1" applyAlignment="1">
      <alignment horizontal="right"/>
    </xf>
    <xf numFmtId="167" fontId="13" fillId="2" borderId="0" xfId="1" applyNumberFormat="1" applyFont="1" applyFill="1" applyBorder="1" applyAlignment="1">
      <alignment horizontal="right"/>
    </xf>
    <xf numFmtId="166" fontId="13" fillId="2" borderId="0" xfId="0" applyNumberFormat="1" applyFont="1" applyFill="1"/>
    <xf numFmtId="166" fontId="13" fillId="2" borderId="3" xfId="0" applyNumberFormat="1" applyFont="1" applyFill="1" applyBorder="1"/>
    <xf numFmtId="166" fontId="10" fillId="6" borderId="0" xfId="0" applyNumberFormat="1" applyFont="1" applyFill="1"/>
    <xf numFmtId="0" fontId="0" fillId="2" borderId="0" xfId="0" applyFill="1"/>
    <xf numFmtId="0" fontId="16" fillId="2" borderId="0" xfId="0" applyFont="1" applyFill="1"/>
    <xf numFmtId="0" fontId="15" fillId="2" borderId="0" xfId="0" applyFont="1" applyFill="1"/>
    <xf numFmtId="0" fontId="0" fillId="2" borderId="5" xfId="0" applyFill="1" applyBorder="1"/>
    <xf numFmtId="0" fontId="15" fillId="2" borderId="5" xfId="0" applyFont="1" applyFill="1" applyBorder="1"/>
    <xf numFmtId="9" fontId="0" fillId="2" borderId="0" xfId="0" applyNumberFormat="1" applyFill="1"/>
    <xf numFmtId="167" fontId="0" fillId="2" borderId="0" xfId="0" applyNumberFormat="1" applyFill="1"/>
    <xf numFmtId="0" fontId="17" fillId="2" borderId="0" xfId="0" applyFont="1" applyFill="1"/>
    <xf numFmtId="0" fontId="10" fillId="3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/>
    </xf>
    <xf numFmtId="0" fontId="10" fillId="3" borderId="4" xfId="0" applyFont="1" applyFill="1" applyBorder="1" applyAlignment="1">
      <alignment vertical="center"/>
    </xf>
    <xf numFmtId="9" fontId="12" fillId="2" borderId="0" xfId="1" applyFont="1" applyFill="1" applyBorder="1"/>
    <xf numFmtId="0" fontId="10" fillId="2" borderId="0" xfId="0" applyFont="1" applyFill="1" applyAlignment="1">
      <alignment vertical="center"/>
    </xf>
    <xf numFmtId="0" fontId="13" fillId="2" borderId="0" xfId="0" applyFont="1" applyFill="1"/>
    <xf numFmtId="0" fontId="10" fillId="3" borderId="0" xfId="0" applyFont="1" applyFill="1" applyAlignment="1">
      <alignment vertical="center" wrapText="1"/>
    </xf>
    <xf numFmtId="0" fontId="10" fillId="3" borderId="0" xfId="0" applyFont="1" applyFill="1" applyAlignment="1">
      <alignment vertical="center"/>
    </xf>
    <xf numFmtId="0" fontId="10" fillId="6" borderId="0" xfId="0" applyFont="1" applyFill="1"/>
    <xf numFmtId="0" fontId="12" fillId="2" borderId="3" xfId="0" applyFont="1" applyFill="1" applyBorder="1"/>
    <xf numFmtId="0" fontId="13" fillId="2" borderId="3" xfId="0" applyFont="1" applyFill="1" applyBorder="1"/>
    <xf numFmtId="0" fontId="13" fillId="2" borderId="4" xfId="0" applyFont="1" applyFill="1" applyBorder="1"/>
    <xf numFmtId="0" fontId="18" fillId="0" borderId="0" xfId="0" applyFont="1"/>
  </cellXfs>
  <cellStyles count="5">
    <cellStyle name="Comma 2" xfId="4" xr:uid="{209FEFBC-481C-4914-BA92-EA0C20E7C4C0}"/>
    <cellStyle name="Hyperlink" xfId="2" builtinId="8"/>
    <cellStyle name="Normal" xfId="0" builtinId="0"/>
    <cellStyle name="Percent" xfId="1" builtinId="5"/>
    <cellStyle name="Smart Subtitle 1" xfId="3" xr:uid="{0562525F-E798-424A-BEC6-94C19955F7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Chart'!$B$4</c:f>
              <c:strCache>
                <c:ptCount val="1"/>
                <c:pt idx="0">
                  <c:v>Net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'Column Chart'!$C$3:$E$3</c:f>
              <c:strCache>
                <c:ptCount val="3"/>
                <c:pt idx="0">
                  <c:v>FY24</c:v>
                </c:pt>
                <c:pt idx="1">
                  <c:v>FY25</c:v>
                </c:pt>
                <c:pt idx="2">
                  <c:v>FY26</c:v>
                </c:pt>
              </c:strCache>
            </c:strRef>
          </c:cat>
          <c:val>
            <c:numRef>
              <c:f>'Column Chart'!$C$4:$E$4</c:f>
              <c:numCache>
                <c:formatCode>0.0</c:formatCode>
                <c:ptCount val="3"/>
                <c:pt idx="0">
                  <c:v>14.500341000000001</c:v>
                </c:pt>
                <c:pt idx="1">
                  <c:v>16.148295364999999</c:v>
                </c:pt>
                <c:pt idx="2">
                  <c:v>15.047803019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C7-4982-9173-59E496A7DBF4}"/>
            </c:ext>
          </c:extLst>
        </c:ser>
        <c:ser>
          <c:idx val="1"/>
          <c:order val="1"/>
          <c:tx>
            <c:strRef>
              <c:f>'Column Chart'!$B$5</c:f>
              <c:strCache>
                <c:ptCount val="1"/>
                <c:pt idx="0">
                  <c:v>Other revenues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'Column Chart'!$C$3:$E$3</c:f>
              <c:strCache>
                <c:ptCount val="3"/>
                <c:pt idx="0">
                  <c:v>FY24</c:v>
                </c:pt>
                <c:pt idx="1">
                  <c:v>FY25</c:v>
                </c:pt>
                <c:pt idx="2">
                  <c:v>FY26</c:v>
                </c:pt>
              </c:strCache>
            </c:strRef>
          </c:cat>
          <c:val>
            <c:numRef>
              <c:f>'Column Chart'!$C$5:$E$5</c:f>
              <c:numCache>
                <c:formatCode>0.0</c:formatCode>
                <c:ptCount val="3"/>
                <c:pt idx="0">
                  <c:v>4.7948561920000001</c:v>
                </c:pt>
                <c:pt idx="1">
                  <c:v>6.9602176449999993</c:v>
                </c:pt>
                <c:pt idx="2">
                  <c:v>6.3736175140000002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C7-4982-9173-59E496A7DBF4}"/>
            </c:ext>
          </c:extLst>
        </c:ser>
        <c:ser>
          <c:idx val="2"/>
          <c:order val="2"/>
          <c:tx>
            <c:strRef>
              <c:f>'Column Chart'!$B$6</c:f>
              <c:strCache>
                <c:ptCount val="1"/>
                <c:pt idx="0">
                  <c:v>Recharges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'Column Chart'!$C$3:$E$3</c:f>
              <c:strCache>
                <c:ptCount val="3"/>
                <c:pt idx="0">
                  <c:v>FY24</c:v>
                </c:pt>
                <c:pt idx="1">
                  <c:v>FY25</c:v>
                </c:pt>
                <c:pt idx="2">
                  <c:v>FY26</c:v>
                </c:pt>
              </c:strCache>
            </c:strRef>
          </c:cat>
          <c:val>
            <c:numRef>
              <c:f>'Column Chart'!$C$6:$E$6</c:f>
              <c:numCache>
                <c:formatCode>0.0</c:formatCode>
                <c:ptCount val="3"/>
                <c:pt idx="0">
                  <c:v>3.2200542519999997</c:v>
                </c:pt>
                <c:pt idx="1">
                  <c:v>2.9240919949999999</c:v>
                </c:pt>
                <c:pt idx="2">
                  <c:v>4.8931777299999997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C7-4982-9173-59E496A7DBF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56277663"/>
        <c:axId val="1334525615"/>
      </c:barChart>
      <c:lineChart>
        <c:grouping val="standard"/>
        <c:varyColors val="0"/>
        <c:ser>
          <c:idx val="3"/>
          <c:order val="3"/>
          <c:tx>
            <c:strRef>
              <c:f>'Column Chart'!$B$7</c:f>
              <c:strCache>
                <c:ptCount val="1"/>
                <c:pt idx="0">
                  <c:v>Gross Margin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'Column Chart'!$C$3:$E$3</c:f>
              <c:strCache>
                <c:ptCount val="3"/>
                <c:pt idx="0">
                  <c:v>FY24</c:v>
                </c:pt>
                <c:pt idx="1">
                  <c:v>FY25</c:v>
                </c:pt>
                <c:pt idx="2">
                  <c:v>FY26</c:v>
                </c:pt>
              </c:strCache>
            </c:strRef>
          </c:cat>
          <c:val>
            <c:numRef>
              <c:f>'Column Chart'!$C$7:$E$7</c:f>
              <c:numCache>
                <c:formatCode>0%</c:formatCode>
                <c:ptCount val="3"/>
                <c:pt idx="0">
                  <c:v>0.80329281353949789</c:v>
                </c:pt>
                <c:pt idx="1">
                  <c:v>0.79014052477841912</c:v>
                </c:pt>
                <c:pt idx="2">
                  <c:v>0.78437246085651935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7C7-4982-9173-59E496A7DBF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56265135"/>
        <c:axId val="1334547695"/>
      </c:lineChart>
      <c:catAx>
        <c:axId val="1456277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525615"/>
        <c:crosses val="autoZero"/>
        <c:auto val="1"/>
        <c:lblAlgn val="ctr"/>
        <c:lblOffset val="100"/>
        <c:noMultiLvlLbl val="0"/>
      </c:catAx>
      <c:valAx>
        <c:axId val="1334525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277663"/>
        <c:crosses val="autoZero"/>
        <c:crossBetween val="between"/>
      </c:valAx>
      <c:valAx>
        <c:axId val="1334547695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265135"/>
        <c:crosses val="max"/>
        <c:crossBetween val="between"/>
      </c:valAx>
      <c:catAx>
        <c:axId val="14562651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3454769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777777777777776E-2"/>
          <c:y val="4.6296296296296294E-2"/>
          <c:w val="0.93888888888888888"/>
          <c:h val="0.79224482356372117"/>
        </c:manualLayout>
      </c:layout>
      <c:lineChart>
        <c:grouping val="standard"/>
        <c:varyColors val="0"/>
        <c:ser>
          <c:idx val="0"/>
          <c:order val="0"/>
          <c:tx>
            <c:strRef>
              <c:f>'Line chart'!$C$3</c:f>
              <c:strCache>
                <c:ptCount val="1"/>
                <c:pt idx="0">
                  <c:v>FY2024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'Line chart'!$B$4:$B$6</c:f>
              <c:strCache>
                <c:ptCount val="3"/>
                <c:pt idx="0">
                  <c:v>Net Sales</c:v>
                </c:pt>
                <c:pt idx="1">
                  <c:v>Other revenues</c:v>
                </c:pt>
                <c:pt idx="2">
                  <c:v>Recharges</c:v>
                </c:pt>
              </c:strCache>
            </c:strRef>
          </c:cat>
          <c:val>
            <c:numRef>
              <c:f>'Line chart'!$C$4:$C$6</c:f>
              <c:numCache>
                <c:formatCode>0.0</c:formatCode>
                <c:ptCount val="3"/>
                <c:pt idx="0">
                  <c:v>14.500341000000001</c:v>
                </c:pt>
                <c:pt idx="1">
                  <c:v>4.7948561920000001</c:v>
                </c:pt>
                <c:pt idx="2">
                  <c:v>3.2200542519999997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36-4286-8C49-FB25F89CB6E9}"/>
            </c:ext>
          </c:extLst>
        </c:ser>
        <c:ser>
          <c:idx val="1"/>
          <c:order val="1"/>
          <c:tx>
            <c:strRef>
              <c:f>'Line chart'!$D$3</c:f>
              <c:strCache>
                <c:ptCount val="1"/>
                <c:pt idx="0">
                  <c:v>FY2025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'Line chart'!$B$4:$B$6</c:f>
              <c:strCache>
                <c:ptCount val="3"/>
                <c:pt idx="0">
                  <c:v>Net Sales</c:v>
                </c:pt>
                <c:pt idx="1">
                  <c:v>Other revenues</c:v>
                </c:pt>
                <c:pt idx="2">
                  <c:v>Recharges</c:v>
                </c:pt>
              </c:strCache>
            </c:strRef>
          </c:cat>
          <c:val>
            <c:numRef>
              <c:f>'Line chart'!$D$4:$D$6</c:f>
              <c:numCache>
                <c:formatCode>0.0</c:formatCode>
                <c:ptCount val="3"/>
                <c:pt idx="0">
                  <c:v>16.148295364999999</c:v>
                </c:pt>
                <c:pt idx="1">
                  <c:v>6.9602176449999993</c:v>
                </c:pt>
                <c:pt idx="2">
                  <c:v>2.9240919949999999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36-4286-8C49-FB25F89CB6E9}"/>
            </c:ext>
          </c:extLst>
        </c:ser>
        <c:ser>
          <c:idx val="2"/>
          <c:order val="2"/>
          <c:tx>
            <c:strRef>
              <c:f>'Line chart'!$E$3</c:f>
              <c:strCache>
                <c:ptCount val="1"/>
                <c:pt idx="0">
                  <c:v>FY2026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'Line chart'!$B$4:$B$6</c:f>
              <c:strCache>
                <c:ptCount val="3"/>
                <c:pt idx="0">
                  <c:v>Net Sales</c:v>
                </c:pt>
                <c:pt idx="1">
                  <c:v>Other revenues</c:v>
                </c:pt>
                <c:pt idx="2">
                  <c:v>Recharges</c:v>
                </c:pt>
              </c:strCache>
            </c:strRef>
          </c:cat>
          <c:val>
            <c:numRef>
              <c:f>'Line chart'!$E$4:$E$6</c:f>
              <c:numCache>
                <c:formatCode>0.0</c:formatCode>
                <c:ptCount val="3"/>
                <c:pt idx="0">
                  <c:v>15.047803019</c:v>
                </c:pt>
                <c:pt idx="1">
                  <c:v>6.3736175140000002</c:v>
                </c:pt>
                <c:pt idx="2">
                  <c:v>4.8931777299999997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36-4286-8C49-FB25F89CB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6704511"/>
        <c:axId val="1378658959"/>
      </c:lineChart>
      <c:catAx>
        <c:axId val="1376704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658959"/>
        <c:crosses val="autoZero"/>
        <c:auto val="1"/>
        <c:lblAlgn val="ctr"/>
        <c:lblOffset val="100"/>
        <c:noMultiLvlLbl val="0"/>
      </c:catAx>
      <c:valAx>
        <c:axId val="137865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704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'Stacked Column chart'!$B$4:$B$8</c:f>
              <c:strCache>
                <c:ptCount val="5"/>
                <c:pt idx="0">
                  <c:v>EBITDA  FY 25</c:v>
                </c:pt>
                <c:pt idx="1">
                  <c:v>Changes in Revenue</c:v>
                </c:pt>
                <c:pt idx="2">
                  <c:v>Changes in Variable cost</c:v>
                </c:pt>
                <c:pt idx="3">
                  <c:v>Change in Opex</c:v>
                </c:pt>
                <c:pt idx="4">
                  <c:v>EBITDA  FY 26</c:v>
                </c:pt>
              </c:strCache>
            </c:strRef>
          </c:cat>
          <c:val>
            <c:numRef>
              <c:f>'Stacked Column chart'!$C$4:$C$8</c:f>
              <c:numCache>
                <c:formatCode>0.0</c:formatCode>
                <c:ptCount val="5"/>
                <c:pt idx="0">
                  <c:v>4.2437563400000018</c:v>
                </c:pt>
                <c:pt idx="1">
                  <c:v>0.28199325799999997</c:v>
                </c:pt>
                <c:pt idx="2">
                  <c:v>-0.21096324199999916</c:v>
                </c:pt>
                <c:pt idx="3">
                  <c:v>0.97571168499999961</c:v>
                </c:pt>
                <c:pt idx="4">
                  <c:v>5.2904980409999993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8D-4918-8239-6339B9AD593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376737455"/>
        <c:axId val="1378638319"/>
      </c:barChart>
      <c:catAx>
        <c:axId val="137673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638319"/>
        <c:crosses val="autoZero"/>
        <c:auto val="1"/>
        <c:lblAlgn val="ctr"/>
        <c:lblOffset val="100"/>
        <c:noMultiLvlLbl val="0"/>
      </c:catAx>
      <c:valAx>
        <c:axId val="137863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737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205740</xdr:colOff>
      <xdr:row>1</xdr:row>
      <xdr:rowOff>118110</xdr:rowOff>
    </xdr:from>
    <xdr:to>
      <xdr:col>14</xdr:col>
      <xdr:colOff>358140</xdr:colOff>
      <xdr:row>16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D069E4-A4D0-4E79-9E62-BDE7B96814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251460</xdr:colOff>
      <xdr:row>1</xdr:row>
      <xdr:rowOff>125730</xdr:rowOff>
    </xdr:from>
    <xdr:to>
      <xdr:col>13</xdr:col>
      <xdr:colOff>556260</xdr:colOff>
      <xdr:row>16</xdr:row>
      <xdr:rowOff>72390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DED2A7-CF14-E9E0-A041-365B11ACCA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350520</xdr:colOff>
      <xdr:row>1</xdr:row>
      <xdr:rowOff>163830</xdr:rowOff>
    </xdr:from>
    <xdr:to>
      <xdr:col>15</xdr:col>
      <xdr:colOff>327660</xdr:colOff>
      <xdr:row>16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DABE0C-6941-A09E-8C7C-D09ADA20B0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umesh/Downloads/P%20&amp;%20L%20model.xlsm" TargetMode="External"/><Relationship Id="rId2" Type="http://schemas.openxmlformats.org/officeDocument/2006/relationships/externalLinkPath" Target="file:///C:\Users\umesh\Downloads\P%20&amp;%20L%20model.xlsm" TargetMode="External"/><Relationship Id="rId1" Type="http://schemas.openxmlformats.org/officeDocument/2006/relationships/externalLinkPath" Target="/Users/umesh/Downloads/P%20&amp;%20L%20mode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dex"/>
      <sheetName val="1. P&amp;L extractions --&gt;"/>
      <sheetName val="1.1 FY2024"/>
      <sheetName val="1.2 FY2025"/>
      <sheetName val="1.3 FY2026"/>
      <sheetName val="2. Building a P&amp;L --&gt;"/>
      <sheetName val="2.1 Database"/>
      <sheetName val="2.2 P&amp;L statement"/>
      <sheetName val="3. Charts"/>
      <sheetName val="Stacked column"/>
      <sheetName val="Dougnut chart"/>
      <sheetName val="Area chart"/>
      <sheetName val="Bridge Char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F3" t="str">
            <v>FY24</v>
          </cell>
          <cell r="G3" t="str">
            <v>FY25</v>
          </cell>
          <cell r="H3" t="str">
            <v>FY26</v>
          </cell>
          <cell r="J3" t="str">
            <v>Mapping</v>
          </cell>
        </row>
        <row r="4">
          <cell r="F4">
            <v>14500341</v>
          </cell>
          <cell r="G4">
            <v>15792898.75</v>
          </cell>
          <cell r="H4">
            <v>14431341</v>
          </cell>
          <cell r="J4" t="str">
            <v>Net Sales</v>
          </cell>
        </row>
        <row r="5">
          <cell r="F5">
            <v>4794856.1919999998</v>
          </cell>
          <cell r="G5">
            <v>6960217.6449999996</v>
          </cell>
          <cell r="H5">
            <v>6373617.5140000004</v>
          </cell>
          <cell r="J5" t="str">
            <v>Other revenues</v>
          </cell>
        </row>
        <row r="6">
          <cell r="F6">
            <v>154890.4</v>
          </cell>
          <cell r="G6">
            <v>0</v>
          </cell>
          <cell r="H6">
            <v>0</v>
          </cell>
          <cell r="J6" t="str">
            <v>Capitalized costs</v>
          </cell>
        </row>
        <row r="7">
          <cell r="F7">
            <v>1180894.0520000001</v>
          </cell>
          <cell r="G7">
            <v>89234.880000000005</v>
          </cell>
          <cell r="H7">
            <v>0</v>
          </cell>
          <cell r="J7" t="str">
            <v>Capitalized costs</v>
          </cell>
        </row>
        <row r="8">
          <cell r="F8">
            <v>793079.51199999999</v>
          </cell>
          <cell r="G8">
            <v>26173</v>
          </cell>
          <cell r="H8">
            <v>0</v>
          </cell>
          <cell r="J8" t="str">
            <v>Capitalized costs</v>
          </cell>
        </row>
        <row r="9">
          <cell r="F9">
            <v>2277197.6</v>
          </cell>
          <cell r="G9">
            <v>209401.92</v>
          </cell>
          <cell r="H9">
            <v>0</v>
          </cell>
          <cell r="J9" t="str">
            <v>Capitalized costs</v>
          </cell>
        </row>
        <row r="10">
          <cell r="F10">
            <v>-4428911.7640000004</v>
          </cell>
          <cell r="G10">
            <v>-5463188.8250000002</v>
          </cell>
          <cell r="H10">
            <v>-5674152.0669999998</v>
          </cell>
          <cell r="J10" t="str">
            <v>Direct costs</v>
          </cell>
        </row>
        <row r="11">
          <cell r="F11">
            <v>-16977.628000000001</v>
          </cell>
          <cell r="G11">
            <v>-343675</v>
          </cell>
          <cell r="H11">
            <v>-350370.99399999995</v>
          </cell>
          <cell r="J11" t="str">
            <v>Other operating expenses</v>
          </cell>
        </row>
        <row r="12">
          <cell r="F12">
            <v>-2245437.54</v>
          </cell>
          <cell r="G12">
            <v>-1980162.23</v>
          </cell>
          <cell r="H12">
            <v>-3116017.1540000001</v>
          </cell>
          <cell r="J12" t="str">
            <v>Other operating expenses</v>
          </cell>
        </row>
        <row r="13">
          <cell r="F13">
            <v>-16605.634000000002</v>
          </cell>
          <cell r="G13">
            <v>-27148.625</v>
          </cell>
          <cell r="H13">
            <v>-9783.7069999999985</v>
          </cell>
          <cell r="J13" t="str">
            <v>Other operating expenses</v>
          </cell>
        </row>
        <row r="14">
          <cell r="F14">
            <v>-4683394.0460000001</v>
          </cell>
          <cell r="G14">
            <v>-5507141.0549999997</v>
          </cell>
          <cell r="H14">
            <v>-3982699.5329999998</v>
          </cell>
          <cell r="J14" t="str">
            <v>Personnel expenses</v>
          </cell>
        </row>
        <row r="15">
          <cell r="F15">
            <v>-1143051.5760000001</v>
          </cell>
          <cell r="G15">
            <v>-2057298.04</v>
          </cell>
          <cell r="H15">
            <v>-1709688.6429999997</v>
          </cell>
          <cell r="J15" t="str">
            <v>Personnel expenses</v>
          </cell>
        </row>
        <row r="16">
          <cell r="F16">
            <v>-239379.61800000002</v>
          </cell>
          <cell r="G16">
            <v>0</v>
          </cell>
          <cell r="H16">
            <v>0</v>
          </cell>
          <cell r="J16" t="str">
            <v>Personnel expenses</v>
          </cell>
        </row>
        <row r="17">
          <cell r="F17">
            <v>-104913.8</v>
          </cell>
          <cell r="G17">
            <v>-500500</v>
          </cell>
          <cell r="H17">
            <v>-143500</v>
          </cell>
          <cell r="J17" t="str">
            <v>Personnel expenses</v>
          </cell>
        </row>
        <row r="18">
          <cell r="F18">
            <v>-2003262.2180000001</v>
          </cell>
          <cell r="G18">
            <v>-1897676.87</v>
          </cell>
          <cell r="H18">
            <v>-1875768.159</v>
          </cell>
          <cell r="J18" t="str">
            <v>D&amp;A</v>
          </cell>
        </row>
        <row r="19">
          <cell r="F19">
            <v>-41981.296000000002</v>
          </cell>
          <cell r="G19">
            <v>0</v>
          </cell>
          <cell r="H19">
            <v>0</v>
          </cell>
          <cell r="J19" t="str">
            <v>D&amp;A</v>
          </cell>
        </row>
        <row r="20">
          <cell r="F20">
            <v>2156147.4</v>
          </cell>
          <cell r="G20">
            <v>1643711.145</v>
          </cell>
          <cell r="H20">
            <v>1418521.358</v>
          </cell>
          <cell r="J20" t="str">
            <v>Recharges</v>
          </cell>
        </row>
        <row r="21">
          <cell r="F21">
            <v>291428.55199999997</v>
          </cell>
          <cell r="G21">
            <v>0</v>
          </cell>
          <cell r="H21">
            <v>0</v>
          </cell>
          <cell r="J21" t="str">
            <v>Recharges</v>
          </cell>
        </row>
        <row r="22">
          <cell r="F22">
            <v>0</v>
          </cell>
          <cell r="G22">
            <v>0</v>
          </cell>
          <cell r="H22">
            <v>0</v>
          </cell>
          <cell r="J22" t="str">
            <v>Recharges</v>
          </cell>
        </row>
        <row r="23">
          <cell r="F23">
            <v>33736.5</v>
          </cell>
          <cell r="G23">
            <v>0</v>
          </cell>
          <cell r="H23">
            <v>0</v>
          </cell>
          <cell r="J23" t="str">
            <v>Recharges</v>
          </cell>
        </row>
        <row r="24">
          <cell r="F24">
            <v>0</v>
          </cell>
          <cell r="G24">
            <v>0</v>
          </cell>
          <cell r="H24">
            <v>0</v>
          </cell>
          <cell r="J24" t="str">
            <v>Recharges</v>
          </cell>
        </row>
        <row r="25">
          <cell r="F25">
            <v>0</v>
          </cell>
          <cell r="G25">
            <v>0</v>
          </cell>
          <cell r="H25">
            <v>0</v>
          </cell>
          <cell r="J25" t="str">
            <v>Recharges</v>
          </cell>
        </row>
        <row r="26">
          <cell r="F26">
            <v>0</v>
          </cell>
          <cell r="G26">
            <v>0</v>
          </cell>
          <cell r="H26">
            <v>0</v>
          </cell>
          <cell r="J26" t="str">
            <v>Recharges</v>
          </cell>
        </row>
        <row r="27">
          <cell r="F27">
            <v>199600.4</v>
          </cell>
          <cell r="G27">
            <v>10461.36</v>
          </cell>
          <cell r="H27">
            <v>0</v>
          </cell>
          <cell r="J27" t="str">
            <v>Recharges</v>
          </cell>
        </row>
        <row r="28">
          <cell r="F28">
            <v>539141.4</v>
          </cell>
          <cell r="G28">
            <v>6785.94</v>
          </cell>
          <cell r="H28">
            <v>902857.84299999999</v>
          </cell>
          <cell r="J28" t="str">
            <v>Recharges</v>
          </cell>
        </row>
        <row r="29">
          <cell r="F29">
            <v>57.221999999999994</v>
          </cell>
          <cell r="G29">
            <v>-9793.84</v>
          </cell>
          <cell r="H29">
            <v>15872.001999999999</v>
          </cell>
          <cell r="J29" t="str">
            <v>Other income</v>
          </cell>
        </row>
        <row r="30">
          <cell r="F30">
            <v>-22314.879999999997</v>
          </cell>
          <cell r="G30">
            <v>-65947.7</v>
          </cell>
          <cell r="H30">
            <v>-57.317999999999998</v>
          </cell>
          <cell r="J30" t="str">
            <v>Other operating expenses</v>
          </cell>
        </row>
        <row r="31">
          <cell r="F31">
            <v>-204000</v>
          </cell>
          <cell r="G31">
            <v>0</v>
          </cell>
          <cell r="H31">
            <v>0</v>
          </cell>
          <cell r="J31" t="str">
            <v>Other operating expenses</v>
          </cell>
        </row>
        <row r="32">
          <cell r="F32">
            <v>-138.41399999999999</v>
          </cell>
          <cell r="G32">
            <v>-5138.91</v>
          </cell>
          <cell r="H32">
            <v>-19198.66</v>
          </cell>
          <cell r="J32" t="str">
            <v>Other operating expenses</v>
          </cell>
        </row>
        <row r="33">
          <cell r="F33">
            <v>-1127445.872</v>
          </cell>
          <cell r="G33">
            <v>-1055381.4750000001</v>
          </cell>
          <cell r="H33">
            <v>172933.44899999999</v>
          </cell>
          <cell r="J33" t="str">
            <v>Leasing</v>
          </cell>
        </row>
        <row r="34">
          <cell r="F34">
            <v>-133722</v>
          </cell>
          <cell r="G34">
            <v>0</v>
          </cell>
          <cell r="H34">
            <v>0</v>
          </cell>
          <cell r="J34" t="str">
            <v>Services</v>
          </cell>
        </row>
        <row r="35">
          <cell r="F35">
            <v>-328061.886</v>
          </cell>
          <cell r="G35">
            <v>-430845.34499999997</v>
          </cell>
          <cell r="H35">
            <v>0</v>
          </cell>
          <cell r="J35" t="str">
            <v>Services</v>
          </cell>
        </row>
        <row r="36">
          <cell r="F36">
            <v>-2081304.3219999997</v>
          </cell>
          <cell r="G36">
            <v>-1130021</v>
          </cell>
          <cell r="H36">
            <v>-1481408.47</v>
          </cell>
          <cell r="J36" t="str">
            <v>Services</v>
          </cell>
        </row>
        <row r="37">
          <cell r="F37">
            <v>-33410.031999999999</v>
          </cell>
          <cell r="G37">
            <v>-7293.5450000000001</v>
          </cell>
          <cell r="H37">
            <v>-40048.799999999996</v>
          </cell>
          <cell r="J37" t="str">
            <v>Other operating expenses</v>
          </cell>
        </row>
        <row r="38">
          <cell r="F38">
            <v>-213090.85199999998</v>
          </cell>
          <cell r="G38">
            <v>-48468.665000000001</v>
          </cell>
          <cell r="H38">
            <v>-64039.82699999999</v>
          </cell>
          <cell r="J38" t="str">
            <v>Other operating expenses</v>
          </cell>
        </row>
        <row r="39">
          <cell r="F39">
            <v>-1813525.004</v>
          </cell>
          <cell r="G39">
            <v>-2393259.19</v>
          </cell>
          <cell r="H39">
            <v>-2514431.8869999996</v>
          </cell>
          <cell r="J39" t="str">
            <v>Travel costs</v>
          </cell>
        </row>
        <row r="40">
          <cell r="F40">
            <v>-5552.2</v>
          </cell>
          <cell r="G40">
            <v>-23069.654999999999</v>
          </cell>
          <cell r="H40">
            <v>-4194.2999999999993</v>
          </cell>
          <cell r="J40" t="str">
            <v>Other operating expenses</v>
          </cell>
        </row>
        <row r="41">
          <cell r="F41">
            <v>-43868.975999999995</v>
          </cell>
          <cell r="G41">
            <v>-208366.935</v>
          </cell>
          <cell r="H41">
            <v>-106525.708</v>
          </cell>
          <cell r="J41" t="str">
            <v>Other operating expenses</v>
          </cell>
        </row>
        <row r="42">
          <cell r="F42">
            <v>-10934.671999999999</v>
          </cell>
          <cell r="G42">
            <v>-20323.309999999998</v>
          </cell>
          <cell r="H42">
            <v>-109811.284</v>
          </cell>
          <cell r="J42" t="str">
            <v>Other operating expenses</v>
          </cell>
        </row>
        <row r="43">
          <cell r="F43">
            <v>-20400</v>
          </cell>
          <cell r="G43">
            <v>-169489</v>
          </cell>
          <cell r="H43">
            <v>-61111.483999999997</v>
          </cell>
          <cell r="J43" t="str">
            <v>Other operating expenses</v>
          </cell>
        </row>
        <row r="44">
          <cell r="F44">
            <v>0</v>
          </cell>
          <cell r="G44">
            <v>0</v>
          </cell>
          <cell r="H44">
            <v>-1684415.2999999998</v>
          </cell>
          <cell r="J44" t="str">
            <v>Other operating expenses</v>
          </cell>
        </row>
        <row r="45">
          <cell r="F45">
            <v>-563918.152</v>
          </cell>
          <cell r="G45">
            <v>-638869.13</v>
          </cell>
          <cell r="H45">
            <v>-575626.2649999999</v>
          </cell>
          <cell r="J45" t="str">
            <v>Other operating expenses</v>
          </cell>
        </row>
        <row r="46">
          <cell r="F46">
            <v>0</v>
          </cell>
          <cell r="G46">
            <v>0</v>
          </cell>
          <cell r="H46">
            <v>0</v>
          </cell>
        </row>
        <row r="47">
          <cell r="F47">
            <v>0</v>
          </cell>
          <cell r="G47">
            <v>0</v>
          </cell>
          <cell r="H47">
            <v>0</v>
          </cell>
        </row>
        <row r="48">
          <cell r="F48">
            <v>0</v>
          </cell>
          <cell r="G48">
            <v>0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  <cell r="J49" t="str">
            <v>Financial items</v>
          </cell>
        </row>
        <row r="50">
          <cell r="F50">
            <v>0</v>
          </cell>
          <cell r="G50">
            <v>0</v>
          </cell>
          <cell r="H50">
            <v>0</v>
          </cell>
          <cell r="J50" t="str">
            <v>Financial items</v>
          </cell>
        </row>
        <row r="51">
          <cell r="F51">
            <v>0</v>
          </cell>
          <cell r="G51">
            <v>0</v>
          </cell>
          <cell r="H51">
            <v>0</v>
          </cell>
          <cell r="J51" t="str">
            <v>Financial items</v>
          </cell>
        </row>
        <row r="52">
          <cell r="F52">
            <v>35810.228000000003</v>
          </cell>
          <cell r="G52">
            <v>34224.959999999999</v>
          </cell>
          <cell r="H52">
            <v>0</v>
          </cell>
          <cell r="J52" t="str">
            <v>Financial items</v>
          </cell>
        </row>
        <row r="53">
          <cell r="F53">
            <v>51927.417999999998</v>
          </cell>
          <cell r="G53">
            <v>2204.7199999999998</v>
          </cell>
          <cell r="H53">
            <v>73809.511999999988</v>
          </cell>
          <cell r="J53" t="str">
            <v>Financial items</v>
          </cell>
        </row>
        <row r="54">
          <cell r="F54">
            <v>862270.63399999996</v>
          </cell>
          <cell r="G54">
            <v>0</v>
          </cell>
          <cell r="H54">
            <v>0</v>
          </cell>
          <cell r="J54" t="str">
            <v>Capitalized costs</v>
          </cell>
        </row>
        <row r="55">
          <cell r="F55">
            <v>-22763</v>
          </cell>
          <cell r="G55">
            <v>-80617.179999999993</v>
          </cell>
          <cell r="H55">
            <v>-7173.195999999999</v>
          </cell>
          <cell r="J55" t="str">
            <v>Extraordinary items</v>
          </cell>
        </row>
        <row r="56">
          <cell r="F56">
            <v>-2930430.0120000001</v>
          </cell>
          <cell r="G56">
            <v>-2752704.22</v>
          </cell>
          <cell r="H56">
            <v>-2324465.8859999999</v>
          </cell>
          <cell r="J56" t="str">
            <v>Financial items</v>
          </cell>
        </row>
        <row r="57">
          <cell r="F57">
            <v>49378.641999999993</v>
          </cell>
          <cell r="G57">
            <v>-496748.70000000007</v>
          </cell>
          <cell r="H57">
            <v>-2558.1950000000002</v>
          </cell>
          <cell r="J57" t="str">
            <v>Taxes</v>
          </cell>
        </row>
        <row r="58">
          <cell r="F58">
            <v>-516250.67</v>
          </cell>
          <cell r="G58">
            <v>-480872.96000000002</v>
          </cell>
          <cell r="H58">
            <v>-522710.353</v>
          </cell>
          <cell r="J58" t="str">
            <v>Taxes</v>
          </cell>
        </row>
        <row r="59">
          <cell r="F59">
            <v>-21593.093999999997</v>
          </cell>
          <cell r="G59">
            <v>-6570.3050000000003</v>
          </cell>
          <cell r="H59">
            <v>160303.52199999997</v>
          </cell>
          <cell r="J59" t="str">
            <v>Taxes</v>
          </cell>
        </row>
        <row r="60">
          <cell r="F60">
            <v>-2904117.9939999986</v>
          </cell>
          <cell r="G60">
            <v>0</v>
          </cell>
          <cell r="H60">
            <v>0</v>
          </cell>
          <cell r="J60" t="str">
            <v>Net Income</v>
          </cell>
        </row>
        <row r="61">
          <cell r="F61">
            <v>0</v>
          </cell>
          <cell r="G61">
            <v>355396.61499999999</v>
          </cell>
          <cell r="H61">
            <v>616462.01899999997</v>
          </cell>
          <cell r="J61" t="str">
            <v>Net sales</v>
          </cell>
        </row>
        <row r="62">
          <cell r="F62">
            <v>0</v>
          </cell>
          <cell r="G62">
            <v>420017.14999999997</v>
          </cell>
          <cell r="H62">
            <v>0</v>
          </cell>
          <cell r="J62" t="str">
            <v>Capitalized costs</v>
          </cell>
        </row>
        <row r="63">
          <cell r="F63">
            <v>0</v>
          </cell>
          <cell r="G63">
            <v>-14589.33</v>
          </cell>
          <cell r="H63">
            <v>-20504.509999999998</v>
          </cell>
          <cell r="J63" t="str">
            <v>Other operating expenses</v>
          </cell>
        </row>
        <row r="64">
          <cell r="F64">
            <v>0</v>
          </cell>
          <cell r="G64">
            <v>-38521</v>
          </cell>
          <cell r="H64">
            <v>0</v>
          </cell>
          <cell r="J64" t="str">
            <v>Other operating expenses</v>
          </cell>
        </row>
        <row r="65">
          <cell r="F65">
            <v>0</v>
          </cell>
          <cell r="G65">
            <v>-1820</v>
          </cell>
          <cell r="H65">
            <v>0</v>
          </cell>
          <cell r="J65" t="str">
            <v>Other operating expenses</v>
          </cell>
        </row>
        <row r="66">
          <cell r="F66">
            <v>0</v>
          </cell>
          <cell r="G66">
            <v>-10448.129999999999</v>
          </cell>
          <cell r="H66">
            <v>-673.34299999999985</v>
          </cell>
          <cell r="J66" t="str">
            <v>Other operating expenses</v>
          </cell>
        </row>
        <row r="67">
          <cell r="F67">
            <v>0</v>
          </cell>
          <cell r="G67">
            <v>-10412.5</v>
          </cell>
          <cell r="H67">
            <v>0</v>
          </cell>
          <cell r="J67" t="str">
            <v>Other operating expenses</v>
          </cell>
        </row>
        <row r="68">
          <cell r="F68">
            <v>0</v>
          </cell>
          <cell r="G68">
            <v>-6919.8499999999995</v>
          </cell>
          <cell r="H68">
            <v>0</v>
          </cell>
          <cell r="J68" t="str">
            <v>Personnel expenses</v>
          </cell>
        </row>
        <row r="69">
          <cell r="F69">
            <v>0</v>
          </cell>
          <cell r="G69">
            <v>-146328.94499999998</v>
          </cell>
          <cell r="H69">
            <v>-12593.355</v>
          </cell>
          <cell r="J69" t="str">
            <v>D&amp;A</v>
          </cell>
        </row>
        <row r="70">
          <cell r="F70">
            <v>0</v>
          </cell>
          <cell r="G70">
            <v>121553.07499999998</v>
          </cell>
          <cell r="H70">
            <v>0</v>
          </cell>
          <cell r="J70" t="str">
            <v>Extraordinary items</v>
          </cell>
        </row>
        <row r="71">
          <cell r="F71">
            <v>0</v>
          </cell>
          <cell r="G71">
            <v>416278.66</v>
          </cell>
          <cell r="H71">
            <v>622966.38600000006</v>
          </cell>
          <cell r="J71" t="str">
            <v>Recharges</v>
          </cell>
        </row>
        <row r="72">
          <cell r="F72">
            <v>0</v>
          </cell>
          <cell r="G72">
            <v>364243.84499999997</v>
          </cell>
          <cell r="H72">
            <v>0</v>
          </cell>
          <cell r="J72" t="str">
            <v>Recharges</v>
          </cell>
        </row>
        <row r="73">
          <cell r="F73">
            <v>0</v>
          </cell>
          <cell r="G73">
            <v>0</v>
          </cell>
          <cell r="H73">
            <v>0</v>
          </cell>
          <cell r="J73" t="str">
            <v>Recharges</v>
          </cell>
        </row>
        <row r="74">
          <cell r="F74">
            <v>0</v>
          </cell>
          <cell r="G74">
            <v>482611.04499999998</v>
          </cell>
          <cell r="H74">
            <v>1948832.1429999999</v>
          </cell>
          <cell r="J74" t="str">
            <v>Recharges</v>
          </cell>
        </row>
        <row r="75">
          <cell r="F75">
            <v>0</v>
          </cell>
          <cell r="G75">
            <v>2436.35</v>
          </cell>
          <cell r="H75">
            <v>0</v>
          </cell>
          <cell r="J75" t="str">
            <v>Other income</v>
          </cell>
        </row>
        <row r="76">
          <cell r="F76">
            <v>0</v>
          </cell>
          <cell r="G76">
            <v>-81.339999999999989</v>
          </cell>
          <cell r="H76">
            <v>0</v>
          </cell>
          <cell r="J76" t="str">
            <v>Other operating expenses</v>
          </cell>
        </row>
        <row r="77">
          <cell r="F77">
            <v>0</v>
          </cell>
          <cell r="G77">
            <v>-276920</v>
          </cell>
          <cell r="H77">
            <v>-473575.46100000001</v>
          </cell>
          <cell r="J77" t="str">
            <v>Services</v>
          </cell>
        </row>
        <row r="78">
          <cell r="F78">
            <v>0</v>
          </cell>
          <cell r="G78">
            <v>0</v>
          </cell>
          <cell r="H78">
            <v>0</v>
          </cell>
        </row>
        <row r="79">
          <cell r="F79">
            <v>0</v>
          </cell>
          <cell r="G79">
            <v>-23928.799999999999</v>
          </cell>
          <cell r="H79">
            <v>0</v>
          </cell>
          <cell r="J79" t="str">
            <v>Other operating expenses</v>
          </cell>
        </row>
        <row r="80">
          <cell r="F80">
            <v>0</v>
          </cell>
          <cell r="G80">
            <v>-308232</v>
          </cell>
          <cell r="H80">
            <v>0</v>
          </cell>
          <cell r="J80" t="str">
            <v>Extraordinary items</v>
          </cell>
        </row>
        <row r="81">
          <cell r="F81">
            <v>0</v>
          </cell>
          <cell r="G81">
            <v>-13422.779999999999</v>
          </cell>
          <cell r="H81">
            <v>0</v>
          </cell>
          <cell r="J81" t="str">
            <v>Other operating expenses</v>
          </cell>
        </row>
        <row r="82">
          <cell r="F82">
            <v>0</v>
          </cell>
          <cell r="G82">
            <v>-4045.6150000000002</v>
          </cell>
          <cell r="H82">
            <v>0</v>
          </cell>
          <cell r="J82" t="str">
            <v>Other operating expenses</v>
          </cell>
        </row>
        <row r="83">
          <cell r="F83">
            <v>0</v>
          </cell>
          <cell r="G83">
            <v>-49621.144999999997</v>
          </cell>
          <cell r="H83">
            <v>0</v>
          </cell>
          <cell r="J83" t="str">
            <v>Other operating expenses</v>
          </cell>
        </row>
        <row r="84">
          <cell r="F84">
            <v>0</v>
          </cell>
          <cell r="G84">
            <v>-85462.684999999998</v>
          </cell>
          <cell r="H84">
            <v>0</v>
          </cell>
          <cell r="J84" t="str">
            <v>Extraordinary items</v>
          </cell>
        </row>
        <row r="85">
          <cell r="F85">
            <v>0</v>
          </cell>
          <cell r="G85">
            <v>-11422.144999999999</v>
          </cell>
          <cell r="H85">
            <v>0</v>
          </cell>
          <cell r="J85" t="str">
            <v>Extraordinary items</v>
          </cell>
        </row>
        <row r="86">
          <cell r="F86">
            <v>0</v>
          </cell>
          <cell r="G86">
            <v>-84438.864999999991</v>
          </cell>
          <cell r="H86">
            <v>0</v>
          </cell>
          <cell r="J86" t="str">
            <v>Extraordinary items</v>
          </cell>
        </row>
        <row r="87">
          <cell r="F87">
            <v>0</v>
          </cell>
          <cell r="G87">
            <v>0</v>
          </cell>
          <cell r="H87">
            <v>0</v>
          </cell>
        </row>
        <row r="88">
          <cell r="F88">
            <v>0</v>
          </cell>
          <cell r="G88">
            <v>0</v>
          </cell>
          <cell r="H88">
            <v>0</v>
          </cell>
          <cell r="J88" t="str">
            <v>Financial items</v>
          </cell>
        </row>
        <row r="89">
          <cell r="F89">
            <v>0</v>
          </cell>
          <cell r="G89">
            <v>6778.415</v>
          </cell>
          <cell r="H89">
            <v>0</v>
          </cell>
          <cell r="J89" t="str">
            <v>Financial items</v>
          </cell>
        </row>
        <row r="90">
          <cell r="F90">
            <v>0</v>
          </cell>
          <cell r="G90">
            <v>0</v>
          </cell>
          <cell r="H90">
            <v>0</v>
          </cell>
          <cell r="J90" t="str">
            <v>Financial items</v>
          </cell>
        </row>
        <row r="91">
          <cell r="F91">
            <v>0</v>
          </cell>
          <cell r="G91">
            <v>-1250.7950000000001</v>
          </cell>
          <cell r="H91">
            <v>-51.454999999999998</v>
          </cell>
          <cell r="J91" t="str">
            <v>Financial items</v>
          </cell>
        </row>
        <row r="92">
          <cell r="F92">
            <v>0</v>
          </cell>
          <cell r="G92">
            <v>-4130000</v>
          </cell>
          <cell r="H92">
            <v>0</v>
          </cell>
          <cell r="J92" t="str">
            <v>Extraordinary items</v>
          </cell>
        </row>
        <row r="93">
          <cell r="F93">
            <v>0</v>
          </cell>
          <cell r="G93">
            <v>0</v>
          </cell>
          <cell r="H93">
            <v>0</v>
          </cell>
        </row>
        <row r="94">
          <cell r="F94">
            <v>0</v>
          </cell>
          <cell r="G94">
            <v>6073808.1600000001</v>
          </cell>
          <cell r="H94">
            <v>-779290.47600000002</v>
          </cell>
          <cell r="J94" t="str">
            <v>Net Income</v>
          </cell>
        </row>
        <row r="95">
          <cell r="F95">
            <v>0</v>
          </cell>
          <cell r="G95">
            <v>0</v>
          </cell>
          <cell r="H95">
            <v>-13691.949999999999</v>
          </cell>
          <cell r="J95" t="str">
            <v>Other operating expenses</v>
          </cell>
        </row>
        <row r="96">
          <cell r="F96">
            <v>0</v>
          </cell>
          <cell r="G96">
            <v>0</v>
          </cell>
          <cell r="H96">
            <v>-192017.14499999996</v>
          </cell>
          <cell r="J96" t="str">
            <v>Other operating expenses</v>
          </cell>
        </row>
        <row r="97">
          <cell r="F97">
            <v>0</v>
          </cell>
          <cell r="G97">
            <v>0</v>
          </cell>
          <cell r="H97">
            <v>-375290.46599999996</v>
          </cell>
          <cell r="J97" t="str">
            <v>Other operating expenses</v>
          </cell>
        </row>
        <row r="98">
          <cell r="F98">
            <v>0</v>
          </cell>
          <cell r="G98">
            <v>0</v>
          </cell>
          <cell r="H98">
            <v>-4920</v>
          </cell>
          <cell r="J98" t="str">
            <v>Other operating expenses</v>
          </cell>
        </row>
        <row r="99">
          <cell r="F99">
            <v>0</v>
          </cell>
          <cell r="G99">
            <v>0</v>
          </cell>
          <cell r="H99">
            <v>0</v>
          </cell>
          <cell r="J99" t="str">
            <v>Other operating expenses</v>
          </cell>
        </row>
        <row r="100">
          <cell r="F100">
            <v>0</v>
          </cell>
          <cell r="G100">
            <v>0</v>
          </cell>
          <cell r="H100">
            <v>1252.8369999999998</v>
          </cell>
          <cell r="J100" t="str">
            <v>Other operating expenses</v>
          </cell>
        </row>
        <row r="101">
          <cell r="F101">
            <v>0</v>
          </cell>
          <cell r="G101">
            <v>0</v>
          </cell>
          <cell r="H101">
            <v>0</v>
          </cell>
          <cell r="J101" t="str">
            <v>Recharges</v>
          </cell>
        </row>
        <row r="102">
          <cell r="F102">
            <v>0</v>
          </cell>
          <cell r="G102">
            <v>0</v>
          </cell>
          <cell r="H102">
            <v>61499.999999999993</v>
          </cell>
          <cell r="J102" t="str">
            <v>Other operating expenses</v>
          </cell>
        </row>
        <row r="103">
          <cell r="F103">
            <v>0</v>
          </cell>
          <cell r="G103">
            <v>0</v>
          </cell>
          <cell r="H103">
            <v>30913.425999999996</v>
          </cell>
          <cell r="J103" t="str">
            <v>Other income</v>
          </cell>
        </row>
        <row r="104">
          <cell r="F104">
            <v>0</v>
          </cell>
          <cell r="G104">
            <v>0</v>
          </cell>
          <cell r="H104">
            <v>1423120</v>
          </cell>
          <cell r="J104" t="str">
            <v>Leasing</v>
          </cell>
        </row>
        <row r="105">
          <cell r="F105">
            <v>0</v>
          </cell>
          <cell r="G105">
            <v>0</v>
          </cell>
          <cell r="H105">
            <v>-584.66</v>
          </cell>
          <cell r="J105" t="str">
            <v>Other operating expenses</v>
          </cell>
        </row>
        <row r="106">
          <cell r="F106">
            <v>0</v>
          </cell>
          <cell r="G106">
            <v>0</v>
          </cell>
          <cell r="H106">
            <v>-1352.9999999999998</v>
          </cell>
          <cell r="J106" t="str">
            <v>Other operating expenses</v>
          </cell>
        </row>
        <row r="107">
          <cell r="F107">
            <v>0</v>
          </cell>
          <cell r="G107">
            <v>0</v>
          </cell>
          <cell r="H107">
            <v>0</v>
          </cell>
        </row>
        <row r="108">
          <cell r="F108">
            <v>0</v>
          </cell>
          <cell r="G108">
            <v>0</v>
          </cell>
          <cell r="H108">
            <v>0</v>
          </cell>
        </row>
        <row r="109">
          <cell r="F109" t="str">
            <v>x</v>
          </cell>
          <cell r="G109" t="str">
            <v>x</v>
          </cell>
          <cell r="H109" t="str">
            <v>x</v>
          </cell>
          <cell r="J109" t="str">
            <v>x</v>
          </cell>
        </row>
      </sheetData>
      <sheetData sheetId="7">
        <row r="30">
          <cell r="B30" t="str">
            <v>Net income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C4E85-D835-4D06-836E-81D0CAC31945}">
  <sheetPr>
    <tabColor rgb="FF002060"/>
  </sheetPr>
  <dimension ref="B1:D16"/>
  <sheetViews>
    <sheetView tabSelected="1" workbookViewId="0"/>
  </sheetViews>
  <sheetFormatPr defaultColWidth="9.109375" defaultRowHeight="12" x14ac:dyDescent="0.25"/>
  <cols>
    <col min="1" max="1" width="5.33203125" style="1" customWidth="1"/>
    <col min="2" max="2" width="10" style="1" customWidth="1"/>
    <col min="3" max="3" width="47" style="1" bestFit="1" customWidth="1"/>
    <col min="4" max="4" width="19.44140625" style="1" customWidth="1"/>
    <col min="5" max="16384" width="9.109375" style="1"/>
  </cols>
  <sheetData>
    <row r="1" spans="2:4" ht="21" x14ac:dyDescent="0.4">
      <c r="B1" s="4" t="s">
        <v>257</v>
      </c>
    </row>
    <row r="2" spans="2:4" ht="14.4" x14ac:dyDescent="0.3">
      <c r="B2" s="5" t="s">
        <v>0</v>
      </c>
    </row>
    <row r="4" spans="2:4" ht="32.4" x14ac:dyDescent="0.25">
      <c r="B4" s="13" t="s">
        <v>1</v>
      </c>
      <c r="C4" s="13" t="s">
        <v>2</v>
      </c>
      <c r="D4" s="13" t="s">
        <v>3</v>
      </c>
    </row>
    <row r="5" spans="2:4" ht="15.6" x14ac:dyDescent="0.3">
      <c r="B5" s="6">
        <v>1</v>
      </c>
      <c r="C5" s="7" t="s">
        <v>4</v>
      </c>
      <c r="D5" s="8"/>
    </row>
    <row r="6" spans="2:4" ht="16.2" x14ac:dyDescent="0.35">
      <c r="B6" s="9">
        <v>2</v>
      </c>
      <c r="C6" s="10" t="s">
        <v>5</v>
      </c>
      <c r="D6" s="10"/>
    </row>
    <row r="7" spans="2:4" ht="15.6" x14ac:dyDescent="0.3">
      <c r="B7" s="6">
        <v>3</v>
      </c>
      <c r="C7" s="7" t="s">
        <v>6</v>
      </c>
      <c r="D7" s="8"/>
    </row>
    <row r="8" spans="2:4" ht="15.6" x14ac:dyDescent="0.3">
      <c r="B8" s="6">
        <v>4</v>
      </c>
      <c r="C8" s="7" t="s">
        <v>7</v>
      </c>
      <c r="D8" s="8"/>
    </row>
    <row r="9" spans="2:4" ht="15.6" x14ac:dyDescent="0.3">
      <c r="B9" s="6">
        <v>5</v>
      </c>
      <c r="C9" s="7" t="s">
        <v>8</v>
      </c>
      <c r="D9" s="8"/>
    </row>
    <row r="10" spans="2:4" ht="16.2" x14ac:dyDescent="0.35">
      <c r="B10" s="9">
        <v>6</v>
      </c>
      <c r="C10" s="10" t="s">
        <v>9</v>
      </c>
      <c r="D10" s="10"/>
    </row>
    <row r="11" spans="2:4" ht="15.6" x14ac:dyDescent="0.3">
      <c r="B11" s="6">
        <v>7</v>
      </c>
      <c r="C11" s="7" t="s">
        <v>10</v>
      </c>
      <c r="D11" s="8"/>
    </row>
    <row r="12" spans="2:4" ht="15.6" x14ac:dyDescent="0.3">
      <c r="B12" s="6">
        <v>8</v>
      </c>
      <c r="C12" s="7" t="s">
        <v>11</v>
      </c>
      <c r="D12" s="8"/>
    </row>
    <row r="13" spans="2:4" ht="16.2" x14ac:dyDescent="0.35">
      <c r="B13" s="11">
        <v>19</v>
      </c>
      <c r="C13" s="10" t="s">
        <v>12</v>
      </c>
      <c r="D13" s="12"/>
    </row>
    <row r="14" spans="2:4" ht="15.6" x14ac:dyDescent="0.3">
      <c r="B14" s="6">
        <v>20</v>
      </c>
      <c r="C14" s="7" t="s">
        <v>258</v>
      </c>
      <c r="D14" s="8"/>
    </row>
    <row r="15" spans="2:4" ht="15.6" x14ac:dyDescent="0.3">
      <c r="B15" s="6">
        <v>21</v>
      </c>
      <c r="C15" s="7" t="s">
        <v>259</v>
      </c>
      <c r="D15" s="8"/>
    </row>
    <row r="16" spans="2:4" ht="15.6" x14ac:dyDescent="0.3">
      <c r="B16" s="6">
        <v>22</v>
      </c>
      <c r="C16" s="7" t="s">
        <v>260</v>
      </c>
      <c r="D16" s="8"/>
    </row>
  </sheetData>
  <hyperlinks>
    <hyperlink ref="C7" location="'1.1 FY2016'!A1" display="1.1 FY2016" xr:uid="{5192AA4B-EB77-4251-A528-522D757FF5B4}"/>
    <hyperlink ref="C8" location="'1.2 FY2017'!A1" display="1.2 FY2017" xr:uid="{E7415D9A-33F4-46AF-8622-37666A546A13}"/>
    <hyperlink ref="C9" location="'1.3 FY2018'!A1" display="1.3 FY2018" xr:uid="{9C3AF330-EF03-45B0-949F-910E6CB3E77F}"/>
    <hyperlink ref="C11" location="'2.1 Database'!A1" display="2.1 Database" xr:uid="{615C3A50-690C-4EAD-AE76-8A0E41A54B1F}"/>
    <hyperlink ref="C12" location="'2.2 P&amp;L statement'!A1" display="2.2 P&amp;L statement" xr:uid="{6D585674-64F1-4E8F-BB2E-E763CFF1C247}"/>
    <hyperlink ref="C14" location="'Stacked column'!A1" display="3.1 Column stacked chart with a secondary axis" xr:uid="{8FF8BA69-2E79-44CD-8AA6-7B8C5248AEC9}"/>
    <hyperlink ref="C15" location="'Dougnut chart'!A1" display="3.2 Doughnut chart" xr:uid="{31AFC47B-919C-47BE-B01F-7AE656C19F43}"/>
    <hyperlink ref="C16" location="'Area chart'!A1" display="3.3 Area chart" xr:uid="{CB0F263D-8BAD-4944-B7DC-D7C4D0561B5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FD6E9-19F2-4F2F-86D9-69CF488C7FB3}">
  <dimension ref="B1:H96"/>
  <sheetViews>
    <sheetView workbookViewId="0">
      <selection activeCell="G17" sqref="G17"/>
    </sheetView>
  </sheetViews>
  <sheetFormatPr defaultColWidth="9.109375" defaultRowHeight="14.4" x14ac:dyDescent="0.3"/>
  <cols>
    <col min="1" max="1" width="2" style="1" customWidth="1"/>
    <col min="2" max="2" width="19" style="1" bestFit="1" customWidth="1"/>
    <col min="3" max="3" width="30" style="1" customWidth="1"/>
    <col min="4" max="4" width="24.109375" style="1" bestFit="1" customWidth="1"/>
    <col min="5" max="5" width="36.5546875" style="1" bestFit="1" customWidth="1"/>
    <col min="6" max="6" width="13.6640625" style="1" bestFit="1" customWidth="1"/>
    <col min="7" max="7" width="18.6640625" style="1" bestFit="1" customWidth="1"/>
    <col min="8" max="8" width="9.109375" style="2"/>
    <col min="9" max="16384" width="9.109375" style="1"/>
  </cols>
  <sheetData>
    <row r="1" spans="2:7" ht="21" x14ac:dyDescent="0.4">
      <c r="B1" s="4" t="s">
        <v>13</v>
      </c>
    </row>
    <row r="4" spans="2:7" ht="16.2" x14ac:dyDescent="0.35">
      <c r="B4" s="10" t="s">
        <v>14</v>
      </c>
      <c r="C4" s="10" t="s">
        <v>15</v>
      </c>
      <c r="D4" s="10" t="s">
        <v>16</v>
      </c>
      <c r="E4" s="10" t="s">
        <v>17</v>
      </c>
      <c r="F4" s="10" t="s">
        <v>18</v>
      </c>
      <c r="G4" s="10" t="s">
        <v>19</v>
      </c>
    </row>
    <row r="5" spans="2:7" ht="15.6" x14ac:dyDescent="0.3">
      <c r="B5" s="14" t="s">
        <v>20</v>
      </c>
      <c r="C5" s="14" t="s">
        <v>21</v>
      </c>
      <c r="D5" s="15">
        <v>111111</v>
      </c>
      <c r="E5" s="14" t="s">
        <v>22</v>
      </c>
      <c r="F5" s="16">
        <v>-14500341</v>
      </c>
      <c r="G5" s="14">
        <v>2001110000</v>
      </c>
    </row>
    <row r="6" spans="2:7" ht="15.6" x14ac:dyDescent="0.3">
      <c r="B6" s="14" t="s">
        <v>23</v>
      </c>
      <c r="C6" s="14" t="s">
        <v>24</v>
      </c>
      <c r="D6" s="15">
        <v>111111</v>
      </c>
      <c r="E6" s="14" t="s">
        <v>22</v>
      </c>
      <c r="F6" s="16">
        <v>-4794856.1919999998</v>
      </c>
      <c r="G6" s="14">
        <v>2001190000</v>
      </c>
    </row>
    <row r="7" spans="2:7" ht="15.6" x14ac:dyDescent="0.3">
      <c r="B7" s="14" t="s">
        <v>25</v>
      </c>
      <c r="C7" s="14" t="s">
        <v>26</v>
      </c>
      <c r="D7" s="15">
        <v>1009</v>
      </c>
      <c r="E7" s="14" t="s">
        <v>27</v>
      </c>
      <c r="F7" s="16">
        <v>-154890.4</v>
      </c>
      <c r="G7" s="14">
        <v>2020000000</v>
      </c>
    </row>
    <row r="8" spans="2:7" ht="15.6" x14ac:dyDescent="0.3">
      <c r="B8" s="14" t="s">
        <v>28</v>
      </c>
      <c r="C8" s="14" t="s">
        <v>26</v>
      </c>
      <c r="D8" s="15">
        <v>1007</v>
      </c>
      <c r="E8" s="14" t="s">
        <v>29</v>
      </c>
      <c r="F8" s="16">
        <v>-1180894.0520000001</v>
      </c>
      <c r="G8" s="14">
        <v>2020000000</v>
      </c>
    </row>
    <row r="9" spans="2:7" ht="15.6" x14ac:dyDescent="0.3">
      <c r="B9" s="14" t="s">
        <v>30</v>
      </c>
      <c r="C9" s="14" t="s">
        <v>26</v>
      </c>
      <c r="D9" s="15">
        <v>1008</v>
      </c>
      <c r="E9" s="14" t="s">
        <v>31</v>
      </c>
      <c r="F9" s="16">
        <v>-793079.51199999999</v>
      </c>
      <c r="G9" s="14">
        <v>2020000000</v>
      </c>
    </row>
    <row r="10" spans="2:7" ht="15.6" x14ac:dyDescent="0.3">
      <c r="B10" s="14" t="s">
        <v>32</v>
      </c>
      <c r="C10" s="14" t="s">
        <v>26</v>
      </c>
      <c r="D10" s="15">
        <v>111101</v>
      </c>
      <c r="E10" s="14" t="s">
        <v>33</v>
      </c>
      <c r="F10" s="16">
        <v>-2277197.6</v>
      </c>
      <c r="G10" s="14">
        <v>2020000000</v>
      </c>
    </row>
    <row r="11" spans="2:7" ht="15.6" x14ac:dyDescent="0.3">
      <c r="B11" s="14" t="s">
        <v>34</v>
      </c>
      <c r="C11" s="14" t="s">
        <v>35</v>
      </c>
      <c r="D11" s="15">
        <v>111111</v>
      </c>
      <c r="E11" s="14" t="s">
        <v>22</v>
      </c>
      <c r="F11" s="16">
        <v>4428911.7640000004</v>
      </c>
      <c r="G11" s="14">
        <v>2021900000</v>
      </c>
    </row>
    <row r="12" spans="2:7" ht="15.6" x14ac:dyDescent="0.3">
      <c r="B12" s="14" t="s">
        <v>36</v>
      </c>
      <c r="C12" s="14" t="s">
        <v>37</v>
      </c>
      <c r="D12" s="15">
        <v>111111</v>
      </c>
      <c r="E12" s="14" t="s">
        <v>22</v>
      </c>
      <c r="F12" s="16">
        <v>16977.628000000001</v>
      </c>
      <c r="G12" s="14">
        <v>2024080000</v>
      </c>
    </row>
    <row r="13" spans="2:7" ht="15.6" x14ac:dyDescent="0.3">
      <c r="B13" s="14" t="s">
        <v>38</v>
      </c>
      <c r="C13" s="14" t="s">
        <v>39</v>
      </c>
      <c r="D13" s="15">
        <v>88</v>
      </c>
      <c r="E13" s="14" t="s">
        <v>40</v>
      </c>
      <c r="F13" s="16">
        <v>2245437.54</v>
      </c>
      <c r="G13" s="14">
        <v>2024090000</v>
      </c>
    </row>
    <row r="14" spans="2:7" ht="15.6" x14ac:dyDescent="0.3">
      <c r="B14" s="14" t="s">
        <v>41</v>
      </c>
      <c r="C14" s="14" t="s">
        <v>39</v>
      </c>
      <c r="D14" s="15">
        <v>111111</v>
      </c>
      <c r="E14" s="14" t="s">
        <v>22</v>
      </c>
      <c r="F14" s="16">
        <v>16605.634000000002</v>
      </c>
      <c r="G14" s="14">
        <v>2024090000</v>
      </c>
    </row>
    <row r="15" spans="2:7" ht="15.6" x14ac:dyDescent="0.3">
      <c r="B15" s="14" t="s">
        <v>42</v>
      </c>
      <c r="C15" s="14" t="s">
        <v>43</v>
      </c>
      <c r="D15" s="15">
        <v>111111</v>
      </c>
      <c r="E15" s="14" t="s">
        <v>22</v>
      </c>
      <c r="F15" s="16">
        <v>4683394.0460000001</v>
      </c>
      <c r="G15" s="14">
        <v>2041000000</v>
      </c>
    </row>
    <row r="16" spans="2:7" ht="15.6" x14ac:dyDescent="0.3">
      <c r="B16" s="14" t="s">
        <v>44</v>
      </c>
      <c r="C16" s="14" t="s">
        <v>45</v>
      </c>
      <c r="D16" s="15">
        <v>111101</v>
      </c>
      <c r="E16" s="14" t="s">
        <v>33</v>
      </c>
      <c r="F16" s="16">
        <v>1143051.5760000001</v>
      </c>
      <c r="G16" s="14">
        <v>2042000000</v>
      </c>
    </row>
    <row r="17" spans="2:7" ht="15.6" x14ac:dyDescent="0.3">
      <c r="B17" s="14" t="s">
        <v>46</v>
      </c>
      <c r="C17" s="14" t="s">
        <v>45</v>
      </c>
      <c r="D17" s="15">
        <v>88</v>
      </c>
      <c r="E17" s="14" t="s">
        <v>40</v>
      </c>
      <c r="F17" s="16">
        <v>239379.61800000002</v>
      </c>
      <c r="G17" s="14">
        <v>2042000000</v>
      </c>
    </row>
    <row r="18" spans="2:7" ht="15.6" x14ac:dyDescent="0.3">
      <c r="B18" s="14" t="s">
        <v>47</v>
      </c>
      <c r="C18" s="14" t="s">
        <v>48</v>
      </c>
      <c r="D18" s="15">
        <v>111101</v>
      </c>
      <c r="E18" s="14" t="s">
        <v>33</v>
      </c>
      <c r="F18" s="16">
        <v>104913.8</v>
      </c>
      <c r="G18" s="14">
        <v>2045000000</v>
      </c>
    </row>
    <row r="19" spans="2:7" ht="15.6" x14ac:dyDescent="0.3">
      <c r="B19" s="14" t="s">
        <v>49</v>
      </c>
      <c r="C19" s="14" t="s">
        <v>50</v>
      </c>
      <c r="D19" s="15">
        <v>111101</v>
      </c>
      <c r="E19" s="14" t="s">
        <v>33</v>
      </c>
      <c r="F19" s="16">
        <v>2003262.2180000001</v>
      </c>
      <c r="G19" s="14">
        <v>2051210000</v>
      </c>
    </row>
    <row r="20" spans="2:7" ht="15.6" x14ac:dyDescent="0.3">
      <c r="B20" s="14" t="s">
        <v>51</v>
      </c>
      <c r="C20" s="14" t="s">
        <v>50</v>
      </c>
      <c r="D20" s="15">
        <v>1</v>
      </c>
      <c r="E20" s="14" t="s">
        <v>33</v>
      </c>
      <c r="F20" s="16">
        <v>41981.296000000002</v>
      </c>
      <c r="G20" s="14">
        <v>2051210000</v>
      </c>
    </row>
    <row r="21" spans="2:7" ht="15.6" x14ac:dyDescent="0.3">
      <c r="B21" s="14" t="s">
        <v>52</v>
      </c>
      <c r="C21" s="14" t="s">
        <v>53</v>
      </c>
      <c r="D21" s="15" t="s">
        <v>54</v>
      </c>
      <c r="E21" s="14" t="s">
        <v>55</v>
      </c>
      <c r="F21" s="16">
        <v>-2156147.4</v>
      </c>
      <c r="G21" s="14">
        <v>2069010000</v>
      </c>
    </row>
    <row r="22" spans="2:7" ht="15.6" x14ac:dyDescent="0.3">
      <c r="B22" s="14" t="s">
        <v>56</v>
      </c>
      <c r="C22" s="14" t="s">
        <v>53</v>
      </c>
      <c r="D22" s="15">
        <v>14</v>
      </c>
      <c r="E22" s="14" t="s">
        <v>57</v>
      </c>
      <c r="F22" s="16">
        <v>-291428.55199999997</v>
      </c>
      <c r="G22" s="14">
        <v>2069010000</v>
      </c>
    </row>
    <row r="23" spans="2:7" ht="15.6" x14ac:dyDescent="0.3">
      <c r="B23" s="14" t="s">
        <v>58</v>
      </c>
      <c r="C23" s="14" t="s">
        <v>53</v>
      </c>
      <c r="D23" s="15">
        <v>1037</v>
      </c>
      <c r="E23" s="14" t="s">
        <v>59</v>
      </c>
      <c r="F23" s="16">
        <v>0</v>
      </c>
      <c r="G23" s="14">
        <v>2069010000</v>
      </c>
    </row>
    <row r="24" spans="2:7" ht="15.6" x14ac:dyDescent="0.3">
      <c r="B24" s="14" t="s">
        <v>60</v>
      </c>
      <c r="C24" s="14" t="s">
        <v>53</v>
      </c>
      <c r="D24" s="15" t="s">
        <v>61</v>
      </c>
      <c r="E24" s="14" t="s">
        <v>62</v>
      </c>
      <c r="F24" s="16">
        <v>-33736.5</v>
      </c>
      <c r="G24" s="14">
        <v>2069010000</v>
      </c>
    </row>
    <row r="25" spans="2:7" ht="15.6" x14ac:dyDescent="0.3">
      <c r="B25" s="14" t="s">
        <v>63</v>
      </c>
      <c r="C25" s="14" t="s">
        <v>53</v>
      </c>
      <c r="D25" s="15">
        <v>1009</v>
      </c>
      <c r="E25" s="14" t="s">
        <v>27</v>
      </c>
      <c r="F25" s="16">
        <v>0</v>
      </c>
      <c r="G25" s="14">
        <v>2069010000</v>
      </c>
    </row>
    <row r="26" spans="2:7" ht="15.6" x14ac:dyDescent="0.3">
      <c r="B26" s="14" t="s">
        <v>64</v>
      </c>
      <c r="C26" s="14" t="s">
        <v>53</v>
      </c>
      <c r="D26" s="15">
        <v>1007</v>
      </c>
      <c r="E26" s="14" t="s">
        <v>29</v>
      </c>
      <c r="F26" s="16">
        <v>0</v>
      </c>
      <c r="G26" s="14">
        <v>2069010000</v>
      </c>
    </row>
    <row r="27" spans="2:7" ht="15.6" x14ac:dyDescent="0.3">
      <c r="B27" s="14" t="s">
        <v>65</v>
      </c>
      <c r="C27" s="14" t="s">
        <v>53</v>
      </c>
      <c r="D27" s="15">
        <v>1008</v>
      </c>
      <c r="E27" s="14" t="s">
        <v>31</v>
      </c>
      <c r="F27" s="16">
        <v>0</v>
      </c>
      <c r="G27" s="14">
        <v>2069010000</v>
      </c>
    </row>
    <row r="28" spans="2:7" ht="15.6" x14ac:dyDescent="0.3">
      <c r="B28" s="14" t="s">
        <v>66</v>
      </c>
      <c r="C28" s="14" t="s">
        <v>53</v>
      </c>
      <c r="D28" s="15">
        <v>1240</v>
      </c>
      <c r="E28" s="14" t="s">
        <v>67</v>
      </c>
      <c r="F28" s="16">
        <v>-199600.4</v>
      </c>
      <c r="G28" s="14">
        <v>2069010000</v>
      </c>
    </row>
    <row r="29" spans="2:7" ht="15.6" x14ac:dyDescent="0.3">
      <c r="B29" s="14" t="s">
        <v>68</v>
      </c>
      <c r="C29" s="14" t="s">
        <v>53</v>
      </c>
      <c r="D29" s="15">
        <v>111111</v>
      </c>
      <c r="E29" s="14" t="s">
        <v>22</v>
      </c>
      <c r="F29" s="16">
        <v>-539141.4</v>
      </c>
      <c r="G29" s="14">
        <v>2069010000</v>
      </c>
    </row>
    <row r="30" spans="2:7" ht="15.6" x14ac:dyDescent="0.3">
      <c r="B30" s="14" t="s">
        <v>69</v>
      </c>
      <c r="C30" s="14" t="s">
        <v>70</v>
      </c>
      <c r="D30" s="15">
        <v>111111</v>
      </c>
      <c r="E30" s="14" t="s">
        <v>22</v>
      </c>
      <c r="F30" s="16">
        <v>-57.221999999999994</v>
      </c>
      <c r="G30" s="14">
        <v>2069980000</v>
      </c>
    </row>
    <row r="31" spans="2:7" ht="15.6" x14ac:dyDescent="0.3">
      <c r="B31" s="14" t="s">
        <v>71</v>
      </c>
      <c r="C31" s="14" t="s">
        <v>72</v>
      </c>
      <c r="D31" s="15">
        <v>111111</v>
      </c>
      <c r="E31" s="14" t="s">
        <v>22</v>
      </c>
      <c r="F31" s="16">
        <v>22314.879999999997</v>
      </c>
      <c r="G31" s="14">
        <v>2070400000</v>
      </c>
    </row>
    <row r="32" spans="2:7" ht="15.6" x14ac:dyDescent="0.3">
      <c r="B32" s="14" t="s">
        <v>73</v>
      </c>
      <c r="C32" s="14" t="s">
        <v>74</v>
      </c>
      <c r="D32" s="15">
        <v>88</v>
      </c>
      <c r="E32" s="14" t="s">
        <v>40</v>
      </c>
      <c r="F32" s="16">
        <v>204000</v>
      </c>
      <c r="G32" s="14">
        <v>2070500000</v>
      </c>
    </row>
    <row r="33" spans="2:7" ht="15.6" x14ac:dyDescent="0.3">
      <c r="B33" s="14" t="s">
        <v>75</v>
      </c>
      <c r="C33" s="14" t="s">
        <v>74</v>
      </c>
      <c r="D33" s="15">
        <v>111111</v>
      </c>
      <c r="E33" s="14" t="s">
        <v>22</v>
      </c>
      <c r="F33" s="16">
        <v>138.41399999999999</v>
      </c>
      <c r="G33" s="14">
        <v>2070500000</v>
      </c>
    </row>
    <row r="34" spans="2:7" ht="15.6" x14ac:dyDescent="0.3">
      <c r="B34" s="14" t="s">
        <v>76</v>
      </c>
      <c r="C34" s="14" t="s">
        <v>77</v>
      </c>
      <c r="D34" s="15">
        <v>111111</v>
      </c>
      <c r="E34" s="14" t="s">
        <v>22</v>
      </c>
      <c r="F34" s="16">
        <v>1127445.872</v>
      </c>
      <c r="G34" s="14">
        <v>2070600000</v>
      </c>
    </row>
    <row r="35" spans="2:7" ht="15.6" x14ac:dyDescent="0.3">
      <c r="B35" s="14" t="s">
        <v>78</v>
      </c>
      <c r="C35" s="14" t="s">
        <v>79</v>
      </c>
      <c r="D35" s="15" t="s">
        <v>80</v>
      </c>
      <c r="E35" s="14" t="s">
        <v>81</v>
      </c>
      <c r="F35" s="16">
        <v>133722</v>
      </c>
      <c r="G35" s="14">
        <v>2070900000</v>
      </c>
    </row>
    <row r="36" spans="2:7" ht="15.6" x14ac:dyDescent="0.3">
      <c r="B36" s="14" t="s">
        <v>82</v>
      </c>
      <c r="C36" s="14" t="s">
        <v>79</v>
      </c>
      <c r="D36" s="15" t="s">
        <v>83</v>
      </c>
      <c r="E36" s="14" t="s">
        <v>84</v>
      </c>
      <c r="F36" s="16">
        <v>328061.886</v>
      </c>
      <c r="G36" s="14">
        <v>2070900000</v>
      </c>
    </row>
    <row r="37" spans="2:7" ht="15.6" x14ac:dyDescent="0.3">
      <c r="B37" s="14" t="s">
        <v>85</v>
      </c>
      <c r="C37" s="14" t="s">
        <v>79</v>
      </c>
      <c r="D37" s="15">
        <v>111111</v>
      </c>
      <c r="E37" s="14" t="s">
        <v>22</v>
      </c>
      <c r="F37" s="16">
        <v>2081304.3219999997</v>
      </c>
      <c r="G37" s="14">
        <v>2070900000</v>
      </c>
    </row>
    <row r="38" spans="2:7" ht="15.6" x14ac:dyDescent="0.3">
      <c r="B38" s="14" t="s">
        <v>86</v>
      </c>
      <c r="C38" s="14" t="s">
        <v>87</v>
      </c>
      <c r="D38" s="15">
        <v>111111</v>
      </c>
      <c r="E38" s="14" t="s">
        <v>22</v>
      </c>
      <c r="F38" s="16">
        <v>33410.031999999999</v>
      </c>
      <c r="G38" s="14">
        <v>2071000000</v>
      </c>
    </row>
    <row r="39" spans="2:7" ht="15.6" x14ac:dyDescent="0.3">
      <c r="B39" s="14" t="s">
        <v>88</v>
      </c>
      <c r="C39" s="14" t="s">
        <v>89</v>
      </c>
      <c r="D39" s="15">
        <v>111111</v>
      </c>
      <c r="E39" s="14" t="s">
        <v>22</v>
      </c>
      <c r="F39" s="16">
        <v>213090.85199999998</v>
      </c>
      <c r="G39" s="14">
        <v>2071100000</v>
      </c>
    </row>
    <row r="40" spans="2:7" ht="15.6" x14ac:dyDescent="0.3">
      <c r="B40" s="14" t="s">
        <v>90</v>
      </c>
      <c r="C40" s="14" t="s">
        <v>91</v>
      </c>
      <c r="D40" s="15">
        <v>111111</v>
      </c>
      <c r="E40" s="14" t="s">
        <v>22</v>
      </c>
      <c r="F40" s="16">
        <v>1813525.004</v>
      </c>
      <c r="G40" s="14">
        <v>2071209200</v>
      </c>
    </row>
    <row r="41" spans="2:7" ht="15.6" x14ac:dyDescent="0.3">
      <c r="B41" s="14" t="s">
        <v>92</v>
      </c>
      <c r="C41" s="14" t="s">
        <v>93</v>
      </c>
      <c r="D41" s="15">
        <v>111111</v>
      </c>
      <c r="E41" s="14" t="s">
        <v>22</v>
      </c>
      <c r="F41" s="16">
        <v>5552.2</v>
      </c>
      <c r="G41" s="14">
        <v>2071209400</v>
      </c>
    </row>
    <row r="42" spans="2:7" ht="15.6" x14ac:dyDescent="0.3">
      <c r="B42" s="14" t="s">
        <v>94</v>
      </c>
      <c r="C42" s="14" t="s">
        <v>95</v>
      </c>
      <c r="D42" s="15">
        <v>111111</v>
      </c>
      <c r="E42" s="14" t="s">
        <v>22</v>
      </c>
      <c r="F42" s="16">
        <v>43868.975999999995</v>
      </c>
      <c r="G42" s="14">
        <v>2071209500</v>
      </c>
    </row>
    <row r="43" spans="2:7" ht="15.6" x14ac:dyDescent="0.3">
      <c r="B43" s="14" t="s">
        <v>96</v>
      </c>
      <c r="C43" s="14" t="s">
        <v>97</v>
      </c>
      <c r="D43" s="15">
        <v>111101</v>
      </c>
      <c r="E43" s="14" t="s">
        <v>33</v>
      </c>
      <c r="F43" s="16">
        <v>10934.671999999999</v>
      </c>
      <c r="G43" s="14">
        <v>2071980000</v>
      </c>
    </row>
    <row r="44" spans="2:7" ht="15.6" x14ac:dyDescent="0.3">
      <c r="B44" s="14" t="s">
        <v>98</v>
      </c>
      <c r="C44" s="14" t="s">
        <v>99</v>
      </c>
      <c r="D44" s="15">
        <v>111111</v>
      </c>
      <c r="E44" s="14" t="s">
        <v>22</v>
      </c>
      <c r="F44" s="16">
        <v>20400</v>
      </c>
      <c r="G44" s="14">
        <v>2079022000</v>
      </c>
    </row>
    <row r="45" spans="2:7" ht="15.6" x14ac:dyDescent="0.3">
      <c r="B45" s="14" t="s">
        <v>100</v>
      </c>
      <c r="C45" s="14" t="s">
        <v>101</v>
      </c>
      <c r="D45" s="15">
        <v>105</v>
      </c>
      <c r="E45" s="14" t="s">
        <v>102</v>
      </c>
      <c r="F45" s="16">
        <v>0</v>
      </c>
      <c r="G45" s="14">
        <v>2079070000</v>
      </c>
    </row>
    <row r="46" spans="2:7" ht="15.6" x14ac:dyDescent="0.3">
      <c r="B46" s="14" t="s">
        <v>103</v>
      </c>
      <c r="C46" s="14" t="s">
        <v>101</v>
      </c>
      <c r="D46" s="15">
        <v>111111</v>
      </c>
      <c r="E46" s="14" t="s">
        <v>22</v>
      </c>
      <c r="F46" s="16">
        <v>563918.152</v>
      </c>
      <c r="G46" s="14">
        <v>2079070000</v>
      </c>
    </row>
    <row r="47" spans="2:7" ht="15.6" x14ac:dyDescent="0.3">
      <c r="B47" s="14" t="s">
        <v>104</v>
      </c>
      <c r="C47" s="14" t="s">
        <v>105</v>
      </c>
      <c r="D47" s="15">
        <v>1009</v>
      </c>
      <c r="E47" s="14" t="s">
        <v>27</v>
      </c>
      <c r="F47" s="16">
        <v>0</v>
      </c>
      <c r="G47" s="14">
        <v>2079080000</v>
      </c>
    </row>
    <row r="48" spans="2:7" ht="15.6" x14ac:dyDescent="0.3">
      <c r="B48" s="14" t="s">
        <v>106</v>
      </c>
      <c r="C48" s="14" t="s">
        <v>105</v>
      </c>
      <c r="D48" s="15">
        <v>1007</v>
      </c>
      <c r="E48" s="14" t="s">
        <v>29</v>
      </c>
      <c r="F48" s="16">
        <v>0</v>
      </c>
      <c r="G48" s="14">
        <v>2079080000</v>
      </c>
    </row>
    <row r="49" spans="2:7" ht="15.6" x14ac:dyDescent="0.3">
      <c r="B49" s="14" t="s">
        <v>107</v>
      </c>
      <c r="C49" s="14" t="s">
        <v>105</v>
      </c>
      <c r="D49" s="15">
        <v>1008</v>
      </c>
      <c r="E49" s="14" t="s">
        <v>31</v>
      </c>
      <c r="F49" s="16">
        <v>0</v>
      </c>
      <c r="G49" s="14">
        <v>2079080000</v>
      </c>
    </row>
    <row r="50" spans="2:7" ht="15.6" x14ac:dyDescent="0.3">
      <c r="B50" s="14" t="s">
        <v>108</v>
      </c>
      <c r="C50" s="14" t="s">
        <v>109</v>
      </c>
      <c r="D50" s="15">
        <v>1009</v>
      </c>
      <c r="E50" s="14" t="s">
        <v>27</v>
      </c>
      <c r="F50" s="16">
        <v>0</v>
      </c>
      <c r="G50" s="14">
        <v>2082280000</v>
      </c>
    </row>
    <row r="51" spans="2:7" ht="15.6" x14ac:dyDescent="0.3">
      <c r="B51" s="14" t="s">
        <v>110</v>
      </c>
      <c r="C51" s="14" t="s">
        <v>109</v>
      </c>
      <c r="D51" s="15">
        <v>1007</v>
      </c>
      <c r="E51" s="14" t="s">
        <v>29</v>
      </c>
      <c r="F51" s="16">
        <v>0</v>
      </c>
      <c r="G51" s="14">
        <v>2082280000</v>
      </c>
    </row>
    <row r="52" spans="2:7" ht="15.6" x14ac:dyDescent="0.3">
      <c r="B52" s="14" t="s">
        <v>111</v>
      </c>
      <c r="C52" s="14" t="s">
        <v>109</v>
      </c>
      <c r="D52" s="15">
        <v>1008</v>
      </c>
      <c r="E52" s="14" t="s">
        <v>31</v>
      </c>
      <c r="F52" s="16">
        <v>0</v>
      </c>
      <c r="G52" s="14">
        <v>2082280000</v>
      </c>
    </row>
    <row r="53" spans="2:7" ht="15.6" x14ac:dyDescent="0.3">
      <c r="B53" s="14" t="s">
        <v>112</v>
      </c>
      <c r="C53" s="14" t="s">
        <v>109</v>
      </c>
      <c r="D53" s="15">
        <v>1240</v>
      </c>
      <c r="E53" s="14" t="s">
        <v>67</v>
      </c>
      <c r="F53" s="16">
        <v>-35810.228000000003</v>
      </c>
      <c r="G53" s="14">
        <v>2082280000</v>
      </c>
    </row>
    <row r="54" spans="2:7" ht="15.6" x14ac:dyDescent="0.3">
      <c r="B54" s="14" t="s">
        <v>113</v>
      </c>
      <c r="C54" s="14" t="s">
        <v>109</v>
      </c>
      <c r="D54" s="15">
        <v>111111</v>
      </c>
      <c r="E54" s="14" t="s">
        <v>22</v>
      </c>
      <c r="F54" s="16">
        <v>-51927.417999999998</v>
      </c>
      <c r="G54" s="14">
        <v>2082280000</v>
      </c>
    </row>
    <row r="55" spans="2:7" ht="15.6" x14ac:dyDescent="0.3">
      <c r="B55" s="14" t="s">
        <v>114</v>
      </c>
      <c r="C55" s="14" t="s">
        <v>115</v>
      </c>
      <c r="D55" s="15">
        <v>111101</v>
      </c>
      <c r="E55" s="14" t="s">
        <v>33</v>
      </c>
      <c r="F55" s="16">
        <v>-862270.63399999996</v>
      </c>
      <c r="G55" s="14">
        <v>2082202000</v>
      </c>
    </row>
    <row r="56" spans="2:7" ht="15.6" x14ac:dyDescent="0.3">
      <c r="B56" s="14" t="s">
        <v>116</v>
      </c>
      <c r="C56" s="14" t="s">
        <v>117</v>
      </c>
      <c r="D56" s="15">
        <v>111101</v>
      </c>
      <c r="E56" s="14" t="s">
        <v>33</v>
      </c>
      <c r="F56" s="16">
        <v>22763</v>
      </c>
      <c r="G56" s="14">
        <v>2082208200</v>
      </c>
    </row>
    <row r="57" spans="2:7" ht="15.6" x14ac:dyDescent="0.3">
      <c r="B57" s="14" t="s">
        <v>118</v>
      </c>
      <c r="C57" s="14" t="s">
        <v>119</v>
      </c>
      <c r="D57" s="15">
        <v>88</v>
      </c>
      <c r="E57" s="14" t="s">
        <v>40</v>
      </c>
      <c r="F57" s="16">
        <v>2930430.0120000001</v>
      </c>
      <c r="G57" s="14">
        <v>2082214000</v>
      </c>
    </row>
    <row r="58" spans="2:7" ht="15.6" x14ac:dyDescent="0.3">
      <c r="B58" s="14" t="s">
        <v>120</v>
      </c>
      <c r="C58" s="14" t="s">
        <v>121</v>
      </c>
      <c r="D58" s="15">
        <v>111101</v>
      </c>
      <c r="E58" s="14" t="s">
        <v>33</v>
      </c>
      <c r="F58" s="16">
        <v>-49378.641999999993</v>
      </c>
      <c r="G58" s="14">
        <v>2091200000</v>
      </c>
    </row>
    <row r="59" spans="2:7" ht="15.6" x14ac:dyDescent="0.3">
      <c r="B59" s="14" t="s">
        <v>122</v>
      </c>
      <c r="C59" s="14" t="s">
        <v>123</v>
      </c>
      <c r="D59" s="15">
        <v>111101</v>
      </c>
      <c r="E59" s="14" t="s">
        <v>33</v>
      </c>
      <c r="F59" s="16">
        <v>516250.67</v>
      </c>
      <c r="G59" s="14">
        <v>2091200001</v>
      </c>
    </row>
    <row r="60" spans="2:7" ht="15.6" x14ac:dyDescent="0.3">
      <c r="B60" s="14" t="s">
        <v>124</v>
      </c>
      <c r="C60" s="14" t="s">
        <v>125</v>
      </c>
      <c r="D60" s="15">
        <v>111101</v>
      </c>
      <c r="E60" s="14" t="s">
        <v>33</v>
      </c>
      <c r="F60" s="16">
        <v>21593.093999999997</v>
      </c>
      <c r="G60" s="14">
        <v>2092200000</v>
      </c>
    </row>
    <row r="61" spans="2:7" ht="15.6" x14ac:dyDescent="0.3">
      <c r="B61" s="14" t="s">
        <v>126</v>
      </c>
      <c r="C61" s="14" t="s">
        <v>127</v>
      </c>
      <c r="D61" s="15">
        <v>111101</v>
      </c>
      <c r="E61" s="14" t="s">
        <v>33</v>
      </c>
      <c r="F61" s="16">
        <v>-2904117.9939999986</v>
      </c>
      <c r="G61" s="14">
        <v>2999999999</v>
      </c>
    </row>
    <row r="62" spans="2:7" x14ac:dyDescent="0.3">
      <c r="D62" s="3"/>
    </row>
    <row r="63" spans="2:7" x14ac:dyDescent="0.3">
      <c r="D63" s="3"/>
    </row>
    <row r="64" spans="2:7" x14ac:dyDescent="0.3">
      <c r="D64" s="3"/>
    </row>
    <row r="65" spans="4:4" x14ac:dyDescent="0.3">
      <c r="D65" s="3"/>
    </row>
    <row r="66" spans="4:4" x14ac:dyDescent="0.3">
      <c r="D66" s="3"/>
    </row>
    <row r="67" spans="4:4" x14ac:dyDescent="0.3">
      <c r="D67" s="3"/>
    </row>
    <row r="68" spans="4:4" x14ac:dyDescent="0.3">
      <c r="D68" s="3"/>
    </row>
    <row r="69" spans="4:4" x14ac:dyDescent="0.3">
      <c r="D69" s="3"/>
    </row>
    <row r="70" spans="4:4" x14ac:dyDescent="0.3">
      <c r="D70" s="3"/>
    </row>
    <row r="71" spans="4:4" x14ac:dyDescent="0.3">
      <c r="D71" s="3"/>
    </row>
    <row r="72" spans="4:4" x14ac:dyDescent="0.3">
      <c r="D72" s="3"/>
    </row>
    <row r="73" spans="4:4" x14ac:dyDescent="0.3">
      <c r="D73" s="3"/>
    </row>
    <row r="74" spans="4:4" x14ac:dyDescent="0.3">
      <c r="D74" s="3"/>
    </row>
    <row r="75" spans="4:4" x14ac:dyDescent="0.3">
      <c r="D75" s="3"/>
    </row>
    <row r="76" spans="4:4" x14ac:dyDescent="0.3">
      <c r="D76" s="3"/>
    </row>
    <row r="77" spans="4:4" x14ac:dyDescent="0.3">
      <c r="D77" s="3"/>
    </row>
    <row r="78" spans="4:4" x14ac:dyDescent="0.3">
      <c r="D78" s="3"/>
    </row>
    <row r="79" spans="4:4" x14ac:dyDescent="0.3">
      <c r="D79" s="3"/>
    </row>
    <row r="80" spans="4:4" x14ac:dyDescent="0.3">
      <c r="D80" s="3"/>
    </row>
    <row r="81" spans="4:4" x14ac:dyDescent="0.3">
      <c r="D81" s="3"/>
    </row>
    <row r="82" spans="4:4" x14ac:dyDescent="0.3">
      <c r="D82" s="3"/>
    </row>
    <row r="83" spans="4:4" x14ac:dyDescent="0.3">
      <c r="D83" s="3"/>
    </row>
    <row r="84" spans="4:4" x14ac:dyDescent="0.3">
      <c r="D84" s="3"/>
    </row>
    <row r="85" spans="4:4" x14ac:dyDescent="0.3">
      <c r="D85" s="3"/>
    </row>
    <row r="86" spans="4:4" x14ac:dyDescent="0.3">
      <c r="D86" s="3"/>
    </row>
    <row r="87" spans="4:4" x14ac:dyDescent="0.3">
      <c r="D87" s="3"/>
    </row>
    <row r="88" spans="4:4" x14ac:dyDescent="0.3">
      <c r="D88" s="3"/>
    </row>
    <row r="89" spans="4:4" x14ac:dyDescent="0.3">
      <c r="D89" s="3"/>
    </row>
    <row r="90" spans="4:4" x14ac:dyDescent="0.3">
      <c r="D90" s="3"/>
    </row>
    <row r="91" spans="4:4" x14ac:dyDescent="0.3">
      <c r="D91" s="3"/>
    </row>
    <row r="92" spans="4:4" x14ac:dyDescent="0.3">
      <c r="D92" s="3"/>
    </row>
    <row r="93" spans="4:4" x14ac:dyDescent="0.3">
      <c r="D93" s="3"/>
    </row>
    <row r="94" spans="4:4" x14ac:dyDescent="0.3">
      <c r="D94" s="3"/>
    </row>
    <row r="95" spans="4:4" x14ac:dyDescent="0.3">
      <c r="D95" s="3"/>
    </row>
    <row r="96" spans="4:4" x14ac:dyDescent="0.3">
      <c r="D96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239B7-37ED-47B6-A19F-83B887994B64}">
  <dimension ref="B1:G127"/>
  <sheetViews>
    <sheetView workbookViewId="0"/>
  </sheetViews>
  <sheetFormatPr defaultColWidth="9.109375" defaultRowHeight="15.6" x14ac:dyDescent="0.3"/>
  <cols>
    <col min="1" max="1" width="2" style="17" customWidth="1"/>
    <col min="2" max="2" width="19" style="17" bestFit="1" customWidth="1"/>
    <col min="3" max="3" width="34.88671875" style="17" bestFit="1" customWidth="1"/>
    <col min="4" max="4" width="21.33203125" style="17" bestFit="1" customWidth="1"/>
    <col min="5" max="5" width="37.5546875" style="17" bestFit="1" customWidth="1"/>
    <col min="6" max="6" width="13.6640625" style="17" bestFit="1" customWidth="1"/>
    <col min="7" max="7" width="13.88671875" style="17" bestFit="1" customWidth="1"/>
    <col min="8" max="16384" width="9.109375" style="17"/>
  </cols>
  <sheetData>
    <row r="1" spans="2:7" ht="21" x14ac:dyDescent="0.4">
      <c r="B1" s="4" t="s">
        <v>128</v>
      </c>
    </row>
    <row r="4" spans="2:7" ht="16.2" x14ac:dyDescent="0.35">
      <c r="B4" s="10" t="s">
        <v>14</v>
      </c>
      <c r="C4" s="10" t="s">
        <v>15</v>
      </c>
      <c r="D4" s="10" t="s">
        <v>16</v>
      </c>
      <c r="E4" s="10" t="s">
        <v>17</v>
      </c>
      <c r="F4" s="10" t="s">
        <v>18</v>
      </c>
      <c r="G4" s="10" t="s">
        <v>19</v>
      </c>
    </row>
    <row r="5" spans="2:7" x14ac:dyDescent="0.3">
      <c r="B5" s="14" t="s">
        <v>129</v>
      </c>
      <c r="C5" s="18" t="s">
        <v>21</v>
      </c>
      <c r="D5" s="18">
        <v>105</v>
      </c>
      <c r="E5" s="18" t="s">
        <v>102</v>
      </c>
      <c r="F5" s="19">
        <v>-355396.61499999999</v>
      </c>
      <c r="G5" s="18">
        <v>2001110000</v>
      </c>
    </row>
    <row r="6" spans="2:7" x14ac:dyDescent="0.3">
      <c r="B6" s="14" t="s">
        <v>20</v>
      </c>
      <c r="C6" s="18" t="s">
        <v>21</v>
      </c>
      <c r="D6" s="18">
        <v>111111</v>
      </c>
      <c r="E6" s="18" t="s">
        <v>22</v>
      </c>
      <c r="F6" s="19">
        <v>-15792898.75</v>
      </c>
      <c r="G6" s="18">
        <v>2001110000</v>
      </c>
    </row>
    <row r="7" spans="2:7" x14ac:dyDescent="0.3">
      <c r="B7" s="14" t="s">
        <v>23</v>
      </c>
      <c r="C7" s="18" t="s">
        <v>24</v>
      </c>
      <c r="D7" s="18">
        <v>111111</v>
      </c>
      <c r="E7" s="18" t="s">
        <v>22</v>
      </c>
      <c r="F7" s="19">
        <v>-6960217.6449999996</v>
      </c>
      <c r="G7" s="18">
        <v>2001190000</v>
      </c>
    </row>
    <row r="8" spans="2:7" x14ac:dyDescent="0.3">
      <c r="B8" s="14" t="s">
        <v>130</v>
      </c>
      <c r="C8" s="18" t="s">
        <v>26</v>
      </c>
      <c r="D8" s="18" t="s">
        <v>131</v>
      </c>
      <c r="E8" s="18" t="s">
        <v>132</v>
      </c>
      <c r="F8" s="19">
        <v>-420017.14999999997</v>
      </c>
      <c r="G8" s="18">
        <v>2020000000</v>
      </c>
    </row>
    <row r="9" spans="2:7" x14ac:dyDescent="0.3">
      <c r="B9" s="14" t="s">
        <v>28</v>
      </c>
      <c r="C9" s="18" t="s">
        <v>26</v>
      </c>
      <c r="D9" s="18">
        <v>1007</v>
      </c>
      <c r="E9" s="18" t="s">
        <v>29</v>
      </c>
      <c r="F9" s="19">
        <v>-89234.880000000005</v>
      </c>
      <c r="G9" s="18">
        <v>2020000000</v>
      </c>
    </row>
    <row r="10" spans="2:7" x14ac:dyDescent="0.3">
      <c r="B10" s="14" t="s">
        <v>30</v>
      </c>
      <c r="C10" s="18" t="s">
        <v>26</v>
      </c>
      <c r="D10" s="18">
        <v>1008</v>
      </c>
      <c r="E10" s="18" t="s">
        <v>31</v>
      </c>
      <c r="F10" s="19">
        <v>-26173</v>
      </c>
      <c r="G10" s="18">
        <v>2020000000</v>
      </c>
    </row>
    <row r="11" spans="2:7" x14ac:dyDescent="0.3">
      <c r="B11" s="14" t="s">
        <v>32</v>
      </c>
      <c r="C11" s="18" t="s">
        <v>26</v>
      </c>
      <c r="D11" s="18">
        <v>111101</v>
      </c>
      <c r="E11" s="18" t="s">
        <v>33</v>
      </c>
      <c r="F11" s="19">
        <v>-209401.92</v>
      </c>
      <c r="G11" s="18">
        <v>2020000000</v>
      </c>
    </row>
    <row r="12" spans="2:7" x14ac:dyDescent="0.3">
      <c r="B12" s="14" t="s">
        <v>133</v>
      </c>
      <c r="C12" s="18" t="s">
        <v>134</v>
      </c>
      <c r="D12" s="18">
        <v>111111</v>
      </c>
      <c r="E12" s="18" t="s">
        <v>22</v>
      </c>
      <c r="F12" s="19">
        <v>14589.33</v>
      </c>
      <c r="G12" s="18">
        <v>2021210000</v>
      </c>
    </row>
    <row r="13" spans="2:7" x14ac:dyDescent="0.3">
      <c r="B13" s="14" t="s">
        <v>34</v>
      </c>
      <c r="C13" s="18" t="s">
        <v>35</v>
      </c>
      <c r="D13" s="18">
        <v>111111</v>
      </c>
      <c r="E13" s="18" t="s">
        <v>22</v>
      </c>
      <c r="F13" s="19">
        <v>5463188.8250000002</v>
      </c>
      <c r="G13" s="18">
        <v>2021900000</v>
      </c>
    </row>
    <row r="14" spans="2:7" x14ac:dyDescent="0.3">
      <c r="B14" s="14" t="s">
        <v>36</v>
      </c>
      <c r="C14" s="18" t="s">
        <v>37</v>
      </c>
      <c r="D14" s="18">
        <v>111111</v>
      </c>
      <c r="E14" s="18" t="s">
        <v>22</v>
      </c>
      <c r="F14" s="19">
        <v>343675</v>
      </c>
      <c r="G14" s="18">
        <v>2024080000</v>
      </c>
    </row>
    <row r="15" spans="2:7" x14ac:dyDescent="0.3">
      <c r="B15" s="14" t="s">
        <v>135</v>
      </c>
      <c r="C15" s="18" t="s">
        <v>39</v>
      </c>
      <c r="D15" s="18">
        <v>19</v>
      </c>
      <c r="E15" s="18" t="s">
        <v>57</v>
      </c>
      <c r="F15" s="19">
        <v>38521</v>
      </c>
      <c r="G15" s="18">
        <v>2024090000</v>
      </c>
    </row>
    <row r="16" spans="2:7" x14ac:dyDescent="0.3">
      <c r="B16" s="14" t="s">
        <v>38</v>
      </c>
      <c r="C16" s="18" t="s">
        <v>39</v>
      </c>
      <c r="D16" s="18">
        <v>88</v>
      </c>
      <c r="E16" s="18" t="s">
        <v>40</v>
      </c>
      <c r="F16" s="19">
        <v>1980162.23</v>
      </c>
      <c r="G16" s="18">
        <v>2024090000</v>
      </c>
    </row>
    <row r="17" spans="2:7" x14ac:dyDescent="0.3">
      <c r="B17" s="14" t="s">
        <v>136</v>
      </c>
      <c r="C17" s="18" t="s">
        <v>39</v>
      </c>
      <c r="D17" s="18" t="s">
        <v>137</v>
      </c>
      <c r="E17" s="18" t="s">
        <v>138</v>
      </c>
      <c r="F17" s="19">
        <v>1820</v>
      </c>
      <c r="G17" s="18">
        <v>2024090000</v>
      </c>
    </row>
    <row r="18" spans="2:7" x14ac:dyDescent="0.3">
      <c r="B18" s="14" t="s">
        <v>139</v>
      </c>
      <c r="C18" s="18" t="s">
        <v>39</v>
      </c>
      <c r="D18" s="18" t="s">
        <v>140</v>
      </c>
      <c r="E18" s="18" t="s">
        <v>141</v>
      </c>
      <c r="F18" s="19">
        <v>10448.129999999999</v>
      </c>
      <c r="G18" s="18">
        <v>2024090000</v>
      </c>
    </row>
    <row r="19" spans="2:7" x14ac:dyDescent="0.3">
      <c r="B19" s="14" t="s">
        <v>142</v>
      </c>
      <c r="C19" s="18" t="s">
        <v>39</v>
      </c>
      <c r="D19" s="18" t="s">
        <v>143</v>
      </c>
      <c r="E19" s="18" t="s">
        <v>144</v>
      </c>
      <c r="F19" s="19">
        <v>10412.5</v>
      </c>
      <c r="G19" s="18">
        <v>2024090000</v>
      </c>
    </row>
    <row r="20" spans="2:7" x14ac:dyDescent="0.3">
      <c r="B20" s="14" t="s">
        <v>41</v>
      </c>
      <c r="C20" s="18" t="s">
        <v>39</v>
      </c>
      <c r="D20" s="18">
        <v>111111</v>
      </c>
      <c r="E20" s="18" t="s">
        <v>22</v>
      </c>
      <c r="F20" s="19">
        <v>27148.625</v>
      </c>
      <c r="G20" s="18">
        <v>2024090000</v>
      </c>
    </row>
    <row r="21" spans="2:7" x14ac:dyDescent="0.3">
      <c r="B21" s="14" t="s">
        <v>42</v>
      </c>
      <c r="C21" s="18" t="s">
        <v>43</v>
      </c>
      <c r="D21" s="18">
        <v>111111</v>
      </c>
      <c r="E21" s="18" t="s">
        <v>22</v>
      </c>
      <c r="F21" s="19">
        <v>5507141.0549999997</v>
      </c>
      <c r="G21" s="18">
        <v>2041000000</v>
      </c>
    </row>
    <row r="22" spans="2:7" x14ac:dyDescent="0.3">
      <c r="B22" s="14" t="s">
        <v>44</v>
      </c>
      <c r="C22" s="18" t="s">
        <v>145</v>
      </c>
      <c r="D22" s="18">
        <v>111101</v>
      </c>
      <c r="E22" s="18" t="s">
        <v>33</v>
      </c>
      <c r="F22" s="19">
        <v>1752994.18</v>
      </c>
      <c r="G22" s="18">
        <v>2042000000</v>
      </c>
    </row>
    <row r="23" spans="2:7" x14ac:dyDescent="0.3">
      <c r="B23" s="14" t="s">
        <v>44</v>
      </c>
      <c r="C23" s="18" t="s">
        <v>45</v>
      </c>
      <c r="D23" s="18">
        <v>111101</v>
      </c>
      <c r="E23" s="18" t="s">
        <v>33</v>
      </c>
      <c r="F23" s="19">
        <v>304303.86000000004</v>
      </c>
      <c r="G23" s="18">
        <v>2042000000</v>
      </c>
    </row>
    <row r="24" spans="2:7" x14ac:dyDescent="0.3">
      <c r="B24" s="14" t="s">
        <v>47</v>
      </c>
      <c r="C24" s="18" t="s">
        <v>48</v>
      </c>
      <c r="D24" s="18">
        <v>111101</v>
      </c>
      <c r="E24" s="18" t="s">
        <v>33</v>
      </c>
      <c r="F24" s="19">
        <v>500500</v>
      </c>
      <c r="G24" s="18">
        <v>2045000000</v>
      </c>
    </row>
    <row r="25" spans="2:7" x14ac:dyDescent="0.3">
      <c r="B25" s="14" t="s">
        <v>146</v>
      </c>
      <c r="C25" s="18" t="s">
        <v>147</v>
      </c>
      <c r="D25" s="18">
        <v>111101</v>
      </c>
      <c r="E25" s="18" t="s">
        <v>33</v>
      </c>
      <c r="F25" s="19">
        <v>6919.8499999999995</v>
      </c>
      <c r="G25" s="18">
        <v>2049000000</v>
      </c>
    </row>
    <row r="26" spans="2:7" x14ac:dyDescent="0.3">
      <c r="B26" s="14" t="s">
        <v>49</v>
      </c>
      <c r="C26" s="18" t="s">
        <v>50</v>
      </c>
      <c r="D26" s="18">
        <v>111101</v>
      </c>
      <c r="E26" s="18" t="s">
        <v>33</v>
      </c>
      <c r="F26" s="19">
        <v>1897676.87</v>
      </c>
      <c r="G26" s="18">
        <v>2051210000</v>
      </c>
    </row>
    <row r="27" spans="2:7" x14ac:dyDescent="0.3">
      <c r="B27" s="14" t="s">
        <v>148</v>
      </c>
      <c r="C27" s="18" t="s">
        <v>50</v>
      </c>
      <c r="D27" s="18">
        <v>111101</v>
      </c>
      <c r="E27" s="18" t="s">
        <v>33</v>
      </c>
      <c r="F27" s="19">
        <v>146328.94499999998</v>
      </c>
      <c r="G27" s="18">
        <v>2051260000</v>
      </c>
    </row>
    <row r="28" spans="2:7" x14ac:dyDescent="0.3">
      <c r="B28" s="14" t="s">
        <v>149</v>
      </c>
      <c r="C28" s="18" t="s">
        <v>150</v>
      </c>
      <c r="D28" s="18">
        <v>111111</v>
      </c>
      <c r="E28" s="18" t="s">
        <v>22</v>
      </c>
      <c r="F28" s="19">
        <v>-121553.07499999998</v>
      </c>
      <c r="G28" s="18">
        <v>2060220000</v>
      </c>
    </row>
    <row r="29" spans="2:7" x14ac:dyDescent="0.3">
      <c r="B29" s="14" t="s">
        <v>52</v>
      </c>
      <c r="C29" s="18" t="s">
        <v>53</v>
      </c>
      <c r="D29" s="18" t="s">
        <v>54</v>
      </c>
      <c r="E29" s="18" t="s">
        <v>55</v>
      </c>
      <c r="F29" s="19">
        <v>-1643711.145</v>
      </c>
      <c r="G29" s="18">
        <v>2069010000</v>
      </c>
    </row>
    <row r="30" spans="2:7" x14ac:dyDescent="0.3">
      <c r="B30" s="14" t="s">
        <v>151</v>
      </c>
      <c r="C30" s="18" t="s">
        <v>53</v>
      </c>
      <c r="D30" s="18">
        <v>19</v>
      </c>
      <c r="E30" s="18" t="s">
        <v>57</v>
      </c>
      <c r="F30" s="19">
        <v>-416278.66</v>
      </c>
      <c r="G30" s="18">
        <v>2069010000</v>
      </c>
    </row>
    <row r="31" spans="2:7" x14ac:dyDescent="0.3">
      <c r="B31" s="14" t="s">
        <v>152</v>
      </c>
      <c r="C31" s="18" t="s">
        <v>53</v>
      </c>
      <c r="D31" s="18" t="s">
        <v>153</v>
      </c>
      <c r="E31" s="18" t="s">
        <v>154</v>
      </c>
      <c r="F31" s="19">
        <v>-364243.84499999997</v>
      </c>
      <c r="G31" s="18">
        <v>2069010000</v>
      </c>
    </row>
    <row r="32" spans="2:7" x14ac:dyDescent="0.3">
      <c r="B32" s="14" t="s">
        <v>155</v>
      </c>
      <c r="C32" s="18" t="s">
        <v>53</v>
      </c>
      <c r="D32" s="18" t="s">
        <v>131</v>
      </c>
      <c r="E32" s="18" t="s">
        <v>132</v>
      </c>
      <c r="F32" s="19">
        <v>0</v>
      </c>
      <c r="G32" s="18">
        <v>2069010000</v>
      </c>
    </row>
    <row r="33" spans="2:7" x14ac:dyDescent="0.3">
      <c r="B33" s="14" t="s">
        <v>63</v>
      </c>
      <c r="C33" s="18" t="s">
        <v>53</v>
      </c>
      <c r="D33" s="18">
        <v>1009</v>
      </c>
      <c r="E33" s="18" t="s">
        <v>27</v>
      </c>
      <c r="F33" s="19">
        <v>0</v>
      </c>
      <c r="G33" s="18">
        <v>2069010000</v>
      </c>
    </row>
    <row r="34" spans="2:7" x14ac:dyDescent="0.3">
      <c r="B34" s="14" t="s">
        <v>64</v>
      </c>
      <c r="C34" s="18" t="s">
        <v>53</v>
      </c>
      <c r="D34" s="18">
        <v>1007</v>
      </c>
      <c r="E34" s="18" t="s">
        <v>29</v>
      </c>
      <c r="F34" s="19">
        <v>0</v>
      </c>
      <c r="G34" s="18">
        <v>2069010000</v>
      </c>
    </row>
    <row r="35" spans="2:7" x14ac:dyDescent="0.3">
      <c r="B35" s="14" t="s">
        <v>65</v>
      </c>
      <c r="C35" s="18" t="s">
        <v>53</v>
      </c>
      <c r="D35" s="18">
        <v>1008</v>
      </c>
      <c r="E35" s="18" t="s">
        <v>31</v>
      </c>
      <c r="F35" s="19">
        <v>0</v>
      </c>
      <c r="G35" s="18">
        <v>2069010000</v>
      </c>
    </row>
    <row r="36" spans="2:7" x14ac:dyDescent="0.3">
      <c r="B36" s="14" t="s">
        <v>66</v>
      </c>
      <c r="C36" s="18" t="s">
        <v>53</v>
      </c>
      <c r="D36" s="18">
        <v>1240</v>
      </c>
      <c r="E36" s="18" t="s">
        <v>67</v>
      </c>
      <c r="F36" s="19">
        <v>-10461.36</v>
      </c>
      <c r="G36" s="18">
        <v>2069010000</v>
      </c>
    </row>
    <row r="37" spans="2:7" x14ac:dyDescent="0.3">
      <c r="B37" s="14" t="s">
        <v>64</v>
      </c>
      <c r="C37" s="18" t="s">
        <v>53</v>
      </c>
      <c r="D37" s="18">
        <v>1007</v>
      </c>
      <c r="E37" s="18" t="s">
        <v>156</v>
      </c>
      <c r="F37" s="19">
        <v>0</v>
      </c>
      <c r="G37" s="18">
        <v>2069010000</v>
      </c>
    </row>
    <row r="38" spans="2:7" x14ac:dyDescent="0.3">
      <c r="B38" s="14" t="s">
        <v>157</v>
      </c>
      <c r="C38" s="18" t="s">
        <v>53</v>
      </c>
      <c r="D38" s="18" t="s">
        <v>158</v>
      </c>
      <c r="E38" s="18" t="s">
        <v>159</v>
      </c>
      <c r="F38" s="19">
        <v>-482611.04499999998</v>
      </c>
      <c r="G38" s="18">
        <v>2069010000</v>
      </c>
    </row>
    <row r="39" spans="2:7" x14ac:dyDescent="0.3">
      <c r="B39" s="14" t="s">
        <v>68</v>
      </c>
      <c r="C39" s="18" t="s">
        <v>53</v>
      </c>
      <c r="D39" s="18">
        <v>111111</v>
      </c>
      <c r="E39" s="18" t="s">
        <v>22</v>
      </c>
      <c r="F39" s="19">
        <v>-6785.94</v>
      </c>
      <c r="G39" s="18">
        <v>2069010000</v>
      </c>
    </row>
    <row r="40" spans="2:7" x14ac:dyDescent="0.3">
      <c r="B40" s="14" t="s">
        <v>160</v>
      </c>
      <c r="C40" s="18" t="s">
        <v>70</v>
      </c>
      <c r="D40" s="18">
        <v>88</v>
      </c>
      <c r="E40" s="18" t="s">
        <v>40</v>
      </c>
      <c r="F40" s="19">
        <v>-2436.35</v>
      </c>
      <c r="G40" s="18">
        <v>2069980000</v>
      </c>
    </row>
    <row r="41" spans="2:7" x14ac:dyDescent="0.3">
      <c r="B41" s="14" t="s">
        <v>69</v>
      </c>
      <c r="C41" s="18" t="s">
        <v>70</v>
      </c>
      <c r="D41" s="18">
        <v>111111</v>
      </c>
      <c r="E41" s="18" t="s">
        <v>22</v>
      </c>
      <c r="F41" s="19">
        <v>9793.84</v>
      </c>
      <c r="G41" s="18">
        <v>2069980000</v>
      </c>
    </row>
    <row r="42" spans="2:7" x14ac:dyDescent="0.3">
      <c r="B42" s="14" t="s">
        <v>161</v>
      </c>
      <c r="C42" s="18" t="s">
        <v>162</v>
      </c>
      <c r="D42" s="18">
        <v>111101</v>
      </c>
      <c r="E42" s="18" t="s">
        <v>33</v>
      </c>
      <c r="F42" s="19">
        <v>81.339999999999989</v>
      </c>
      <c r="G42" s="18">
        <v>2070290000</v>
      </c>
    </row>
    <row r="43" spans="2:7" x14ac:dyDescent="0.3">
      <c r="B43" s="14" t="s">
        <v>71</v>
      </c>
      <c r="C43" s="18" t="s">
        <v>72</v>
      </c>
      <c r="D43" s="18">
        <v>111111</v>
      </c>
      <c r="E43" s="18" t="s">
        <v>22</v>
      </c>
      <c r="F43" s="19">
        <v>65947.7</v>
      </c>
      <c r="G43" s="18">
        <v>2070400000</v>
      </c>
    </row>
    <row r="44" spans="2:7" x14ac:dyDescent="0.3">
      <c r="B44" s="14" t="s">
        <v>75</v>
      </c>
      <c r="C44" s="18" t="s">
        <v>74</v>
      </c>
      <c r="D44" s="18">
        <v>111111</v>
      </c>
      <c r="E44" s="18" t="s">
        <v>22</v>
      </c>
      <c r="F44" s="19">
        <v>5138.91</v>
      </c>
      <c r="G44" s="18">
        <v>2070500000</v>
      </c>
    </row>
    <row r="45" spans="2:7" x14ac:dyDescent="0.3">
      <c r="B45" s="14" t="s">
        <v>76</v>
      </c>
      <c r="C45" s="18" t="s">
        <v>77</v>
      </c>
      <c r="D45" s="18">
        <v>111111</v>
      </c>
      <c r="E45" s="18" t="s">
        <v>22</v>
      </c>
      <c r="F45" s="19">
        <v>1055381.4750000001</v>
      </c>
      <c r="G45" s="18">
        <v>2070600000</v>
      </c>
    </row>
    <row r="46" spans="2:7" x14ac:dyDescent="0.3">
      <c r="B46" s="14" t="s">
        <v>82</v>
      </c>
      <c r="C46" s="18" t="s">
        <v>79</v>
      </c>
      <c r="D46" s="18" t="s">
        <v>83</v>
      </c>
      <c r="E46" s="18" t="s">
        <v>84</v>
      </c>
      <c r="F46" s="19">
        <v>430845.34499999997</v>
      </c>
      <c r="G46" s="18">
        <v>2070900000</v>
      </c>
    </row>
    <row r="47" spans="2:7" x14ac:dyDescent="0.3">
      <c r="B47" s="14" t="s">
        <v>163</v>
      </c>
      <c r="C47" s="18" t="s">
        <v>79</v>
      </c>
      <c r="D47" s="18">
        <v>105</v>
      </c>
      <c r="E47" s="18" t="s">
        <v>102</v>
      </c>
      <c r="F47" s="19">
        <v>276920</v>
      </c>
      <c r="G47" s="18">
        <v>2070900000</v>
      </c>
    </row>
    <row r="48" spans="2:7" x14ac:dyDescent="0.3">
      <c r="B48" s="14" t="s">
        <v>85</v>
      </c>
      <c r="C48" s="18" t="s">
        <v>79</v>
      </c>
      <c r="D48" s="18">
        <v>111111</v>
      </c>
      <c r="E48" s="18" t="s">
        <v>22</v>
      </c>
      <c r="F48" s="19">
        <v>1130021</v>
      </c>
      <c r="G48" s="18">
        <v>2070900000</v>
      </c>
    </row>
    <row r="49" spans="2:7" x14ac:dyDescent="0.3">
      <c r="B49" s="14" t="s">
        <v>86</v>
      </c>
      <c r="C49" s="18" t="s">
        <v>87</v>
      </c>
      <c r="D49" s="18">
        <v>111111</v>
      </c>
      <c r="E49" s="18" t="s">
        <v>22</v>
      </c>
      <c r="F49" s="19">
        <v>7293.5450000000001</v>
      </c>
      <c r="G49" s="18">
        <v>2071000000</v>
      </c>
    </row>
    <row r="50" spans="2:7" x14ac:dyDescent="0.3">
      <c r="B50" s="14" t="s">
        <v>164</v>
      </c>
      <c r="C50" s="18" t="s">
        <v>89</v>
      </c>
      <c r="D50" s="18">
        <v>1900</v>
      </c>
      <c r="E50" s="18" t="s">
        <v>165</v>
      </c>
      <c r="F50" s="19">
        <v>0</v>
      </c>
      <c r="G50" s="18">
        <v>2071100000</v>
      </c>
    </row>
    <row r="51" spans="2:7" x14ac:dyDescent="0.3">
      <c r="B51" s="14" t="s">
        <v>88</v>
      </c>
      <c r="C51" s="18" t="s">
        <v>89</v>
      </c>
      <c r="D51" s="18">
        <v>111111</v>
      </c>
      <c r="E51" s="18" t="s">
        <v>22</v>
      </c>
      <c r="F51" s="19">
        <v>48468.665000000001</v>
      </c>
      <c r="G51" s="18">
        <v>2071100000</v>
      </c>
    </row>
    <row r="52" spans="2:7" x14ac:dyDescent="0.3">
      <c r="B52" s="14" t="s">
        <v>166</v>
      </c>
      <c r="C52" s="18" t="s">
        <v>91</v>
      </c>
      <c r="D52" s="18" t="s">
        <v>167</v>
      </c>
      <c r="E52" s="18" t="s">
        <v>168</v>
      </c>
      <c r="F52" s="19">
        <v>23928.799999999999</v>
      </c>
      <c r="G52" s="18">
        <v>2071209200</v>
      </c>
    </row>
    <row r="53" spans="2:7" x14ac:dyDescent="0.3">
      <c r="B53" s="14" t="s">
        <v>90</v>
      </c>
      <c r="C53" s="18" t="s">
        <v>91</v>
      </c>
      <c r="D53" s="18">
        <v>111111</v>
      </c>
      <c r="E53" s="18" t="s">
        <v>22</v>
      </c>
      <c r="F53" s="19">
        <v>2393259.19</v>
      </c>
      <c r="G53" s="18">
        <v>2071209200</v>
      </c>
    </row>
    <row r="54" spans="2:7" x14ac:dyDescent="0.3">
      <c r="B54" s="14" t="s">
        <v>92</v>
      </c>
      <c r="C54" s="18" t="s">
        <v>93</v>
      </c>
      <c r="D54" s="18">
        <v>111111</v>
      </c>
      <c r="E54" s="18" t="s">
        <v>22</v>
      </c>
      <c r="F54" s="19">
        <v>23069.654999999999</v>
      </c>
      <c r="G54" s="18">
        <v>2071209400</v>
      </c>
    </row>
    <row r="55" spans="2:7" x14ac:dyDescent="0.3">
      <c r="B55" s="14" t="s">
        <v>94</v>
      </c>
      <c r="C55" s="18" t="s">
        <v>95</v>
      </c>
      <c r="D55" s="18">
        <v>111111</v>
      </c>
      <c r="E55" s="18" t="s">
        <v>22</v>
      </c>
      <c r="F55" s="19">
        <v>208366.935</v>
      </c>
      <c r="G55" s="18">
        <v>2071209500</v>
      </c>
    </row>
    <row r="56" spans="2:7" x14ac:dyDescent="0.3">
      <c r="B56" s="14" t="s">
        <v>169</v>
      </c>
      <c r="C56" s="18" t="s">
        <v>170</v>
      </c>
      <c r="D56" s="18">
        <v>111111</v>
      </c>
      <c r="E56" s="18" t="s">
        <v>22</v>
      </c>
      <c r="F56" s="19">
        <v>308232</v>
      </c>
      <c r="G56" s="18">
        <v>2071220000</v>
      </c>
    </row>
    <row r="57" spans="2:7" x14ac:dyDescent="0.3">
      <c r="B57" s="14" t="s">
        <v>171</v>
      </c>
      <c r="C57" s="18" t="s">
        <v>172</v>
      </c>
      <c r="D57" s="18">
        <v>19</v>
      </c>
      <c r="E57" s="18" t="s">
        <v>57</v>
      </c>
      <c r="F57" s="19">
        <v>13422.779999999999</v>
      </c>
      <c r="G57" s="18">
        <v>2071511000</v>
      </c>
    </row>
    <row r="58" spans="2:7" x14ac:dyDescent="0.3">
      <c r="B58" s="14" t="s">
        <v>173</v>
      </c>
      <c r="C58" s="18" t="s">
        <v>172</v>
      </c>
      <c r="D58" s="18">
        <v>111111</v>
      </c>
      <c r="E58" s="18" t="s">
        <v>22</v>
      </c>
      <c r="F58" s="19">
        <v>4045.6150000000002</v>
      </c>
      <c r="G58" s="18">
        <v>2071511000</v>
      </c>
    </row>
    <row r="59" spans="2:7" x14ac:dyDescent="0.3">
      <c r="B59" s="14" t="s">
        <v>174</v>
      </c>
      <c r="C59" s="18" t="s">
        <v>175</v>
      </c>
      <c r="D59" s="18">
        <v>111111</v>
      </c>
      <c r="E59" s="18" t="s">
        <v>22</v>
      </c>
      <c r="F59" s="19">
        <v>49621.144999999997</v>
      </c>
      <c r="G59" s="18">
        <v>2071910000</v>
      </c>
    </row>
    <row r="60" spans="2:7" x14ac:dyDescent="0.3">
      <c r="B60" s="14" t="s">
        <v>96</v>
      </c>
      <c r="C60" s="18" t="s">
        <v>97</v>
      </c>
      <c r="D60" s="18">
        <v>111101</v>
      </c>
      <c r="E60" s="18" t="s">
        <v>33</v>
      </c>
      <c r="F60" s="19">
        <v>20323.309999999998</v>
      </c>
      <c r="G60" s="18">
        <v>2071980000</v>
      </c>
    </row>
    <row r="61" spans="2:7" x14ac:dyDescent="0.3">
      <c r="B61" s="14" t="s">
        <v>98</v>
      </c>
      <c r="C61" s="18" t="s">
        <v>99</v>
      </c>
      <c r="D61" s="18">
        <v>111111</v>
      </c>
      <c r="E61" s="18" t="s">
        <v>22</v>
      </c>
      <c r="F61" s="19">
        <v>169489</v>
      </c>
      <c r="G61" s="18">
        <v>2079022000</v>
      </c>
    </row>
    <row r="62" spans="2:7" x14ac:dyDescent="0.3">
      <c r="B62" s="14" t="s">
        <v>176</v>
      </c>
      <c r="C62" s="18" t="s">
        <v>101</v>
      </c>
      <c r="D62" s="18">
        <v>19</v>
      </c>
      <c r="E62" s="18" t="s">
        <v>57</v>
      </c>
      <c r="F62" s="19">
        <v>85462.684999999998</v>
      </c>
      <c r="G62" s="18">
        <v>2079070000</v>
      </c>
    </row>
    <row r="63" spans="2:7" x14ac:dyDescent="0.3">
      <c r="B63" s="14" t="s">
        <v>177</v>
      </c>
      <c r="C63" s="18" t="s">
        <v>101</v>
      </c>
      <c r="D63" s="18" t="s">
        <v>80</v>
      </c>
      <c r="E63" s="18" t="s">
        <v>81</v>
      </c>
      <c r="F63" s="19">
        <v>11422.144999999999</v>
      </c>
      <c r="G63" s="18">
        <v>2079070000</v>
      </c>
    </row>
    <row r="64" spans="2:7" x14ac:dyDescent="0.3">
      <c r="B64" s="14" t="s">
        <v>178</v>
      </c>
      <c r="C64" s="18" t="s">
        <v>101</v>
      </c>
      <c r="D64" s="18" t="s">
        <v>140</v>
      </c>
      <c r="E64" s="18" t="s">
        <v>141</v>
      </c>
      <c r="F64" s="19">
        <v>84438.864999999991</v>
      </c>
      <c r="G64" s="18">
        <v>2079070000</v>
      </c>
    </row>
    <row r="65" spans="2:7" x14ac:dyDescent="0.3">
      <c r="B65" s="14" t="s">
        <v>103</v>
      </c>
      <c r="C65" s="18" t="s">
        <v>101</v>
      </c>
      <c r="D65" s="18">
        <v>111111</v>
      </c>
      <c r="E65" s="18" t="s">
        <v>22</v>
      </c>
      <c r="F65" s="19">
        <v>638869.13</v>
      </c>
      <c r="G65" s="18">
        <v>2079070000</v>
      </c>
    </row>
    <row r="66" spans="2:7" x14ac:dyDescent="0.3">
      <c r="B66" s="14" t="s">
        <v>179</v>
      </c>
      <c r="C66" s="18" t="s">
        <v>105</v>
      </c>
      <c r="D66" s="18" t="s">
        <v>131</v>
      </c>
      <c r="E66" s="18" t="s">
        <v>132</v>
      </c>
      <c r="F66" s="19">
        <v>0</v>
      </c>
      <c r="G66" s="18">
        <v>2079080000</v>
      </c>
    </row>
    <row r="67" spans="2:7" x14ac:dyDescent="0.3">
      <c r="B67" s="14" t="s">
        <v>106</v>
      </c>
      <c r="C67" s="18" t="s">
        <v>105</v>
      </c>
      <c r="D67" s="18">
        <v>1007</v>
      </c>
      <c r="E67" s="18" t="s">
        <v>29</v>
      </c>
      <c r="F67" s="19">
        <v>0</v>
      </c>
      <c r="G67" s="18">
        <v>2079080000</v>
      </c>
    </row>
    <row r="68" spans="2:7" x14ac:dyDescent="0.3">
      <c r="B68" s="14" t="s">
        <v>107</v>
      </c>
      <c r="C68" s="18" t="s">
        <v>105</v>
      </c>
      <c r="D68" s="18">
        <v>1008</v>
      </c>
      <c r="E68" s="18" t="s">
        <v>31</v>
      </c>
      <c r="F68" s="19">
        <v>0</v>
      </c>
      <c r="G68" s="18">
        <v>2079080000</v>
      </c>
    </row>
    <row r="69" spans="2:7" x14ac:dyDescent="0.3">
      <c r="B69" s="14" t="s">
        <v>180</v>
      </c>
      <c r="C69" s="18" t="s">
        <v>109</v>
      </c>
      <c r="D69" s="18" t="s">
        <v>131</v>
      </c>
      <c r="E69" s="18" t="s">
        <v>132</v>
      </c>
      <c r="F69" s="19">
        <v>0</v>
      </c>
      <c r="G69" s="18">
        <v>2082280000</v>
      </c>
    </row>
    <row r="70" spans="2:7" x14ac:dyDescent="0.3">
      <c r="B70" s="14" t="s">
        <v>108</v>
      </c>
      <c r="C70" s="18" t="s">
        <v>109</v>
      </c>
      <c r="D70" s="18">
        <v>1009</v>
      </c>
      <c r="E70" s="18" t="s">
        <v>27</v>
      </c>
      <c r="F70" s="19">
        <v>0</v>
      </c>
      <c r="G70" s="18">
        <v>2082280000</v>
      </c>
    </row>
    <row r="71" spans="2:7" x14ac:dyDescent="0.3">
      <c r="B71" s="14" t="s">
        <v>110</v>
      </c>
      <c r="C71" s="18" t="s">
        <v>109</v>
      </c>
      <c r="D71" s="18">
        <v>1007</v>
      </c>
      <c r="E71" s="18" t="s">
        <v>29</v>
      </c>
      <c r="F71" s="19">
        <v>0</v>
      </c>
      <c r="G71" s="18">
        <v>2082280000</v>
      </c>
    </row>
    <row r="72" spans="2:7" x14ac:dyDescent="0.3">
      <c r="B72" s="14" t="s">
        <v>111</v>
      </c>
      <c r="C72" s="18" t="s">
        <v>109</v>
      </c>
      <c r="D72" s="18">
        <v>1008</v>
      </c>
      <c r="E72" s="18" t="s">
        <v>31</v>
      </c>
      <c r="F72" s="19">
        <v>0</v>
      </c>
      <c r="G72" s="18">
        <v>2082280000</v>
      </c>
    </row>
    <row r="73" spans="2:7" x14ac:dyDescent="0.3">
      <c r="B73" s="14" t="s">
        <v>112</v>
      </c>
      <c r="C73" s="18" t="s">
        <v>109</v>
      </c>
      <c r="D73" s="18">
        <v>1240</v>
      </c>
      <c r="E73" s="18" t="s">
        <v>67</v>
      </c>
      <c r="F73" s="19">
        <v>-34224.959999999999</v>
      </c>
      <c r="G73" s="18">
        <v>2082280000</v>
      </c>
    </row>
    <row r="74" spans="2:7" x14ac:dyDescent="0.3">
      <c r="B74" s="14" t="s">
        <v>181</v>
      </c>
      <c r="C74" s="18" t="s">
        <v>109</v>
      </c>
      <c r="D74" s="18">
        <v>1006</v>
      </c>
      <c r="E74" s="18" t="s">
        <v>182</v>
      </c>
      <c r="F74" s="19">
        <v>-6778.415</v>
      </c>
      <c r="G74" s="18">
        <v>2082280000</v>
      </c>
    </row>
    <row r="75" spans="2:7" x14ac:dyDescent="0.3">
      <c r="B75" s="14" t="s">
        <v>110</v>
      </c>
      <c r="C75" s="18" t="s">
        <v>109</v>
      </c>
      <c r="D75" s="18">
        <v>1007</v>
      </c>
      <c r="E75" s="18" t="s">
        <v>156</v>
      </c>
      <c r="F75" s="19">
        <v>0</v>
      </c>
      <c r="G75" s="18">
        <v>2082280000</v>
      </c>
    </row>
    <row r="76" spans="2:7" x14ac:dyDescent="0.3">
      <c r="B76" s="14" t="s">
        <v>113</v>
      </c>
      <c r="C76" s="18" t="s">
        <v>109</v>
      </c>
      <c r="D76" s="18">
        <v>111111</v>
      </c>
      <c r="E76" s="18" t="s">
        <v>22</v>
      </c>
      <c r="F76" s="19">
        <v>-2204.7199999999998</v>
      </c>
      <c r="G76" s="18">
        <v>2082280000</v>
      </c>
    </row>
    <row r="77" spans="2:7" x14ac:dyDescent="0.3">
      <c r="B77" s="14" t="s">
        <v>116</v>
      </c>
      <c r="C77" s="18" t="s">
        <v>117</v>
      </c>
      <c r="D77" s="18">
        <v>111101</v>
      </c>
      <c r="E77" s="18" t="s">
        <v>33</v>
      </c>
      <c r="F77" s="19">
        <v>80617.179999999993</v>
      </c>
      <c r="G77" s="18">
        <v>2082208200</v>
      </c>
    </row>
    <row r="78" spans="2:7" x14ac:dyDescent="0.3">
      <c r="B78" s="14" t="s">
        <v>118</v>
      </c>
      <c r="C78" s="18" t="s">
        <v>119</v>
      </c>
      <c r="D78" s="18">
        <v>88</v>
      </c>
      <c r="E78" s="18" t="s">
        <v>40</v>
      </c>
      <c r="F78" s="19">
        <v>2752704.22</v>
      </c>
      <c r="G78" s="18">
        <v>2082214000</v>
      </c>
    </row>
    <row r="79" spans="2:7" x14ac:dyDescent="0.3">
      <c r="B79" s="14" t="s">
        <v>183</v>
      </c>
      <c r="C79" s="18" t="s">
        <v>119</v>
      </c>
      <c r="D79" s="18">
        <v>1007</v>
      </c>
      <c r="E79" s="18" t="s">
        <v>156</v>
      </c>
      <c r="F79" s="19">
        <v>0</v>
      </c>
      <c r="G79" s="18">
        <v>2082214000</v>
      </c>
    </row>
    <row r="80" spans="2:7" x14ac:dyDescent="0.3">
      <c r="B80" s="14" t="s">
        <v>184</v>
      </c>
      <c r="C80" s="18" t="s">
        <v>119</v>
      </c>
      <c r="D80" s="18">
        <v>111111</v>
      </c>
      <c r="E80" s="18" t="s">
        <v>22</v>
      </c>
      <c r="F80" s="19">
        <v>1250.7950000000001</v>
      </c>
      <c r="G80" s="18">
        <v>2082214000</v>
      </c>
    </row>
    <row r="81" spans="2:7" x14ac:dyDescent="0.3">
      <c r="B81" s="14" t="s">
        <v>185</v>
      </c>
      <c r="C81" s="18" t="s">
        <v>186</v>
      </c>
      <c r="D81" s="18">
        <v>1240</v>
      </c>
      <c r="E81" s="18" t="s">
        <v>67</v>
      </c>
      <c r="F81" s="19">
        <v>4130000</v>
      </c>
      <c r="G81" s="18">
        <v>2082110000</v>
      </c>
    </row>
    <row r="82" spans="2:7" x14ac:dyDescent="0.3">
      <c r="B82" s="14" t="s">
        <v>120</v>
      </c>
      <c r="C82" s="18" t="s">
        <v>121</v>
      </c>
      <c r="D82" s="18">
        <v>111101</v>
      </c>
      <c r="E82" s="18" t="s">
        <v>33</v>
      </c>
      <c r="F82" s="19">
        <v>496748.70000000007</v>
      </c>
      <c r="G82" s="18">
        <v>2091200000</v>
      </c>
    </row>
    <row r="83" spans="2:7" x14ac:dyDescent="0.3">
      <c r="B83" s="14" t="s">
        <v>122</v>
      </c>
      <c r="C83" s="18" t="s">
        <v>123</v>
      </c>
      <c r="D83" s="18">
        <v>111101</v>
      </c>
      <c r="E83" s="18" t="s">
        <v>33</v>
      </c>
      <c r="F83" s="19">
        <v>480872.96000000002</v>
      </c>
      <c r="G83" s="18">
        <v>2091200001</v>
      </c>
    </row>
    <row r="84" spans="2:7" x14ac:dyDescent="0.3">
      <c r="B84" s="14" t="s">
        <v>187</v>
      </c>
      <c r="C84" s="18" t="s">
        <v>188</v>
      </c>
      <c r="D84" s="18">
        <v>111101</v>
      </c>
      <c r="E84" s="18" t="s">
        <v>33</v>
      </c>
      <c r="F84" s="19">
        <v>0</v>
      </c>
      <c r="G84" s="18">
        <v>2091900000</v>
      </c>
    </row>
    <row r="85" spans="2:7" x14ac:dyDescent="0.3">
      <c r="B85" s="14" t="s">
        <v>124</v>
      </c>
      <c r="C85" s="18" t="s">
        <v>125</v>
      </c>
      <c r="D85" s="18">
        <v>111101</v>
      </c>
      <c r="E85" s="18" t="s">
        <v>33</v>
      </c>
      <c r="F85" s="19">
        <v>6570.3050000000003</v>
      </c>
      <c r="G85" s="18">
        <v>2092200000</v>
      </c>
    </row>
    <row r="86" spans="2:7" x14ac:dyDescent="0.3">
      <c r="B86" s="14" t="s">
        <v>189</v>
      </c>
      <c r="C86" s="18" t="s">
        <v>127</v>
      </c>
      <c r="D86" s="18">
        <v>111101</v>
      </c>
      <c r="E86" s="18" t="s">
        <v>33</v>
      </c>
      <c r="F86" s="19">
        <v>6073808.1600000001</v>
      </c>
      <c r="G86" s="18">
        <v>2111111999</v>
      </c>
    </row>
    <row r="87" spans="2:7" x14ac:dyDescent="0.3">
      <c r="D87" s="20"/>
    </row>
    <row r="88" spans="2:7" x14ac:dyDescent="0.3">
      <c r="D88" s="20"/>
    </row>
    <row r="89" spans="2:7" x14ac:dyDescent="0.3">
      <c r="D89" s="20"/>
    </row>
    <row r="90" spans="2:7" x14ac:dyDescent="0.3">
      <c r="D90" s="20"/>
    </row>
    <row r="91" spans="2:7" x14ac:dyDescent="0.3">
      <c r="D91" s="20"/>
    </row>
    <row r="92" spans="2:7" x14ac:dyDescent="0.3">
      <c r="D92" s="20"/>
    </row>
    <row r="93" spans="2:7" x14ac:dyDescent="0.3">
      <c r="D93" s="20"/>
    </row>
    <row r="94" spans="2:7" x14ac:dyDescent="0.3">
      <c r="D94" s="20"/>
    </row>
    <row r="95" spans="2:7" x14ac:dyDescent="0.3">
      <c r="D95" s="20"/>
    </row>
    <row r="96" spans="2:7" x14ac:dyDescent="0.3">
      <c r="D96" s="20"/>
    </row>
    <row r="97" spans="4:4" x14ac:dyDescent="0.3">
      <c r="D97" s="20"/>
    </row>
    <row r="98" spans="4:4" x14ac:dyDescent="0.3">
      <c r="D98" s="20"/>
    </row>
    <row r="99" spans="4:4" x14ac:dyDescent="0.3">
      <c r="D99" s="20"/>
    </row>
    <row r="100" spans="4:4" x14ac:dyDescent="0.3">
      <c r="D100" s="20"/>
    </row>
    <row r="101" spans="4:4" x14ac:dyDescent="0.3">
      <c r="D101" s="20"/>
    </row>
    <row r="102" spans="4:4" x14ac:dyDescent="0.3">
      <c r="D102" s="20"/>
    </row>
    <row r="103" spans="4:4" x14ac:dyDescent="0.3">
      <c r="D103" s="20"/>
    </row>
    <row r="104" spans="4:4" x14ac:dyDescent="0.3">
      <c r="D104" s="20"/>
    </row>
    <row r="105" spans="4:4" x14ac:dyDescent="0.3">
      <c r="D105" s="20"/>
    </row>
    <row r="106" spans="4:4" x14ac:dyDescent="0.3">
      <c r="D106" s="20"/>
    </row>
    <row r="107" spans="4:4" x14ac:dyDescent="0.3">
      <c r="D107" s="20"/>
    </row>
    <row r="108" spans="4:4" x14ac:dyDescent="0.3">
      <c r="D108" s="20"/>
    </row>
    <row r="109" spans="4:4" x14ac:dyDescent="0.3">
      <c r="D109" s="20"/>
    </row>
    <row r="110" spans="4:4" x14ac:dyDescent="0.3">
      <c r="D110" s="20"/>
    </row>
    <row r="111" spans="4:4" x14ac:dyDescent="0.3">
      <c r="D111" s="20"/>
    </row>
    <row r="112" spans="4:4" x14ac:dyDescent="0.3">
      <c r="D112" s="20"/>
    </row>
    <row r="113" spans="4:4" x14ac:dyDescent="0.3">
      <c r="D113" s="20"/>
    </row>
    <row r="114" spans="4:4" x14ac:dyDescent="0.3">
      <c r="D114" s="20"/>
    </row>
    <row r="115" spans="4:4" x14ac:dyDescent="0.3">
      <c r="D115" s="20"/>
    </row>
    <row r="116" spans="4:4" x14ac:dyDescent="0.3">
      <c r="D116" s="20"/>
    </row>
    <row r="117" spans="4:4" x14ac:dyDescent="0.3">
      <c r="D117" s="20"/>
    </row>
    <row r="118" spans="4:4" x14ac:dyDescent="0.3">
      <c r="D118" s="20"/>
    </row>
    <row r="119" spans="4:4" x14ac:dyDescent="0.3">
      <c r="D119" s="20"/>
    </row>
    <row r="120" spans="4:4" x14ac:dyDescent="0.3">
      <c r="D120" s="20"/>
    </row>
    <row r="121" spans="4:4" x14ac:dyDescent="0.3">
      <c r="D121" s="20"/>
    </row>
    <row r="122" spans="4:4" x14ac:dyDescent="0.3">
      <c r="D122" s="20"/>
    </row>
    <row r="123" spans="4:4" x14ac:dyDescent="0.3">
      <c r="D123" s="20"/>
    </row>
    <row r="124" spans="4:4" x14ac:dyDescent="0.3">
      <c r="D124" s="20"/>
    </row>
    <row r="125" spans="4:4" x14ac:dyDescent="0.3">
      <c r="D125" s="20"/>
    </row>
    <row r="126" spans="4:4" x14ac:dyDescent="0.3">
      <c r="D126" s="20"/>
    </row>
    <row r="127" spans="4:4" x14ac:dyDescent="0.3">
      <c r="D127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DB0BE-D01C-41E7-A6D1-E2822EC3F0E2}">
  <dimension ref="B1:G115"/>
  <sheetViews>
    <sheetView zoomScaleNormal="100" workbookViewId="0"/>
  </sheetViews>
  <sheetFormatPr defaultColWidth="9.109375" defaultRowHeight="15.6" x14ac:dyDescent="0.3"/>
  <cols>
    <col min="1" max="1" width="2.88671875" style="17" customWidth="1"/>
    <col min="2" max="2" width="19" style="17" bestFit="1" customWidth="1"/>
    <col min="3" max="3" width="29.5546875" style="17" customWidth="1"/>
    <col min="4" max="4" width="22.109375" style="17" customWidth="1"/>
    <col min="5" max="5" width="30.88671875" style="17" bestFit="1" customWidth="1"/>
    <col min="6" max="6" width="13.6640625" style="21" bestFit="1" customWidth="1"/>
    <col min="7" max="7" width="13.6640625" style="17" bestFit="1" customWidth="1"/>
    <col min="8" max="16384" width="9.109375" style="17"/>
  </cols>
  <sheetData>
    <row r="1" spans="2:7" ht="21" x14ac:dyDescent="0.4">
      <c r="B1" s="4" t="s">
        <v>190</v>
      </c>
    </row>
    <row r="4" spans="2:7" ht="16.2" x14ac:dyDescent="0.3">
      <c r="B4" s="50" t="s">
        <v>14</v>
      </c>
      <c r="C4" s="50" t="s">
        <v>15</v>
      </c>
      <c r="D4" s="50" t="s">
        <v>16</v>
      </c>
      <c r="E4" s="50" t="s">
        <v>17</v>
      </c>
      <c r="F4" s="50" t="s">
        <v>18</v>
      </c>
      <c r="G4" s="50" t="s">
        <v>19</v>
      </c>
    </row>
    <row r="5" spans="2:7" x14ac:dyDescent="0.3">
      <c r="B5" s="22" t="s">
        <v>129</v>
      </c>
      <c r="C5" s="22" t="s">
        <v>21</v>
      </c>
      <c r="D5" s="22">
        <v>105</v>
      </c>
      <c r="E5" s="22" t="s">
        <v>102</v>
      </c>
      <c r="F5" s="23">
        <v>-616462.01899999997</v>
      </c>
      <c r="G5" s="22">
        <v>2001110000</v>
      </c>
    </row>
    <row r="6" spans="2:7" x14ac:dyDescent="0.3">
      <c r="B6" s="22" t="s">
        <v>20</v>
      </c>
      <c r="C6" s="22" t="s">
        <v>21</v>
      </c>
      <c r="D6" s="22">
        <v>111111</v>
      </c>
      <c r="E6" s="22" t="s">
        <v>22</v>
      </c>
      <c r="F6" s="23">
        <v>-14431341</v>
      </c>
      <c r="G6" s="22">
        <v>2001110000</v>
      </c>
    </row>
    <row r="7" spans="2:7" x14ac:dyDescent="0.3">
      <c r="B7" s="22" t="s">
        <v>23</v>
      </c>
      <c r="C7" s="22" t="s">
        <v>24</v>
      </c>
      <c r="D7" s="22">
        <v>111111</v>
      </c>
      <c r="E7" s="22" t="s">
        <v>22</v>
      </c>
      <c r="F7" s="23">
        <v>-6373617.5140000004</v>
      </c>
      <c r="G7" s="22">
        <v>2001190000</v>
      </c>
    </row>
    <row r="8" spans="2:7" x14ac:dyDescent="0.3">
      <c r="B8" s="22" t="s">
        <v>133</v>
      </c>
      <c r="C8" s="22" t="s">
        <v>191</v>
      </c>
      <c r="D8" s="22">
        <v>111111</v>
      </c>
      <c r="E8" s="22" t="s">
        <v>22</v>
      </c>
      <c r="F8" s="23">
        <v>20504.509999999998</v>
      </c>
      <c r="G8" s="22">
        <v>2021210000</v>
      </c>
    </row>
    <row r="9" spans="2:7" x14ac:dyDescent="0.3">
      <c r="B9" s="22" t="s">
        <v>34</v>
      </c>
      <c r="C9" s="22" t="s">
        <v>35</v>
      </c>
      <c r="D9" s="22">
        <v>111111</v>
      </c>
      <c r="E9" s="22" t="s">
        <v>22</v>
      </c>
      <c r="F9" s="23">
        <v>5674152.0669999998</v>
      </c>
      <c r="G9" s="22">
        <v>2021900000</v>
      </c>
    </row>
    <row r="10" spans="2:7" x14ac:dyDescent="0.3">
      <c r="B10" s="22" t="s">
        <v>192</v>
      </c>
      <c r="C10" s="22" t="s">
        <v>193</v>
      </c>
      <c r="D10" s="22">
        <v>111111</v>
      </c>
      <c r="E10" s="22" t="s">
        <v>22</v>
      </c>
      <c r="F10" s="23">
        <v>13691.949999999999</v>
      </c>
      <c r="G10" s="22">
        <v>2024020000</v>
      </c>
    </row>
    <row r="11" spans="2:7" x14ac:dyDescent="0.3">
      <c r="B11" s="22" t="s">
        <v>36</v>
      </c>
      <c r="C11" s="22" t="s">
        <v>37</v>
      </c>
      <c r="D11" s="22">
        <v>111111</v>
      </c>
      <c r="E11" s="22" t="s">
        <v>22</v>
      </c>
      <c r="F11" s="23">
        <v>350370.99399999995</v>
      </c>
      <c r="G11" s="22">
        <v>2024080000</v>
      </c>
    </row>
    <row r="12" spans="2:7" x14ac:dyDescent="0.3">
      <c r="B12" s="22" t="s">
        <v>38</v>
      </c>
      <c r="C12" s="22" t="s">
        <v>39</v>
      </c>
      <c r="D12" s="22">
        <v>88</v>
      </c>
      <c r="E12" s="22" t="s">
        <v>40</v>
      </c>
      <c r="F12" s="23">
        <v>3116017.1540000001</v>
      </c>
      <c r="G12" s="22">
        <v>2024090000</v>
      </c>
    </row>
    <row r="13" spans="2:7" x14ac:dyDescent="0.3">
      <c r="B13" s="22" t="s">
        <v>136</v>
      </c>
      <c r="C13" s="22" t="s">
        <v>39</v>
      </c>
      <c r="D13" s="22" t="s">
        <v>137</v>
      </c>
      <c r="E13" s="22" t="s">
        <v>138</v>
      </c>
      <c r="F13" s="23">
        <v>0</v>
      </c>
      <c r="G13" s="22">
        <v>2024090000</v>
      </c>
    </row>
    <row r="14" spans="2:7" x14ac:dyDescent="0.3">
      <c r="B14" s="22" t="s">
        <v>139</v>
      </c>
      <c r="C14" s="22" t="s">
        <v>39</v>
      </c>
      <c r="D14" s="22" t="s">
        <v>140</v>
      </c>
      <c r="E14" s="22" t="s">
        <v>141</v>
      </c>
      <c r="F14" s="23">
        <v>673.34299999999985</v>
      </c>
      <c r="G14" s="22">
        <v>2024090000</v>
      </c>
    </row>
    <row r="15" spans="2:7" x14ac:dyDescent="0.3">
      <c r="B15" s="22" t="s">
        <v>194</v>
      </c>
      <c r="C15" s="22" t="s">
        <v>39</v>
      </c>
      <c r="D15" s="22" t="s">
        <v>195</v>
      </c>
      <c r="E15" s="22" t="s">
        <v>196</v>
      </c>
      <c r="F15" s="23">
        <v>192017.14499999996</v>
      </c>
      <c r="G15" s="22">
        <v>2024090000</v>
      </c>
    </row>
    <row r="16" spans="2:7" x14ac:dyDescent="0.3">
      <c r="B16" s="22" t="s">
        <v>197</v>
      </c>
      <c r="C16" s="22" t="s">
        <v>39</v>
      </c>
      <c r="D16" s="22" t="s">
        <v>83</v>
      </c>
      <c r="E16" s="22" t="s">
        <v>84</v>
      </c>
      <c r="F16" s="23">
        <v>375290.46599999996</v>
      </c>
      <c r="G16" s="22">
        <v>2024090000</v>
      </c>
    </row>
    <row r="17" spans="2:7" x14ac:dyDescent="0.3">
      <c r="B17" s="22" t="s">
        <v>198</v>
      </c>
      <c r="C17" s="22" t="s">
        <v>39</v>
      </c>
      <c r="D17" s="22">
        <v>17000</v>
      </c>
      <c r="E17" s="22" t="s">
        <v>199</v>
      </c>
      <c r="F17" s="23">
        <v>4920</v>
      </c>
      <c r="G17" s="22">
        <v>2024090000</v>
      </c>
    </row>
    <row r="18" spans="2:7" x14ac:dyDescent="0.3">
      <c r="B18" s="22" t="s">
        <v>41</v>
      </c>
      <c r="C18" s="22" t="s">
        <v>39</v>
      </c>
      <c r="D18" s="22">
        <v>111111</v>
      </c>
      <c r="E18" s="22" t="s">
        <v>22</v>
      </c>
      <c r="F18" s="23">
        <v>9783.7069999999985</v>
      </c>
      <c r="G18" s="22">
        <v>2024090000</v>
      </c>
    </row>
    <row r="19" spans="2:7" x14ac:dyDescent="0.3">
      <c r="B19" s="22" t="s">
        <v>42</v>
      </c>
      <c r="C19" s="22" t="s">
        <v>43</v>
      </c>
      <c r="D19" s="22">
        <v>111111</v>
      </c>
      <c r="E19" s="22" t="s">
        <v>22</v>
      </c>
      <c r="F19" s="23">
        <v>3982699.5329999998</v>
      </c>
      <c r="G19" s="22">
        <v>2041000000</v>
      </c>
    </row>
    <row r="20" spans="2:7" x14ac:dyDescent="0.3">
      <c r="B20" s="22" t="s">
        <v>44</v>
      </c>
      <c r="C20" s="22" t="s">
        <v>145</v>
      </c>
      <c r="D20" s="22">
        <v>111101</v>
      </c>
      <c r="E20" s="22" t="s">
        <v>33</v>
      </c>
      <c r="F20" s="23">
        <v>1420796.8209999998</v>
      </c>
      <c r="G20" s="22">
        <v>2042000000</v>
      </c>
    </row>
    <row r="21" spans="2:7" x14ac:dyDescent="0.3">
      <c r="B21" s="22" t="s">
        <v>44</v>
      </c>
      <c r="C21" s="22" t="s">
        <v>45</v>
      </c>
      <c r="D21" s="22">
        <v>111101</v>
      </c>
      <c r="E21" s="22" t="s">
        <v>33</v>
      </c>
      <c r="F21" s="23">
        <v>288891.82199999999</v>
      </c>
      <c r="G21" s="22">
        <v>2042000000</v>
      </c>
    </row>
    <row r="22" spans="2:7" x14ac:dyDescent="0.3">
      <c r="B22" s="22" t="s">
        <v>47</v>
      </c>
      <c r="C22" s="22" t="s">
        <v>48</v>
      </c>
      <c r="D22" s="22">
        <v>111101</v>
      </c>
      <c r="E22" s="22" t="s">
        <v>33</v>
      </c>
      <c r="F22" s="23">
        <v>143500</v>
      </c>
      <c r="G22" s="22">
        <v>2045000000</v>
      </c>
    </row>
    <row r="23" spans="2:7" x14ac:dyDescent="0.3">
      <c r="B23" s="22" t="s">
        <v>49</v>
      </c>
      <c r="C23" s="22" t="s">
        <v>50</v>
      </c>
      <c r="D23" s="22">
        <v>111101</v>
      </c>
      <c r="E23" s="22" t="s">
        <v>33</v>
      </c>
      <c r="F23" s="23">
        <v>1875768.159</v>
      </c>
      <c r="G23" s="22">
        <v>2051210000</v>
      </c>
    </row>
    <row r="24" spans="2:7" x14ac:dyDescent="0.3">
      <c r="B24" s="22" t="s">
        <v>148</v>
      </c>
      <c r="C24" s="22" t="s">
        <v>50</v>
      </c>
      <c r="D24" s="22">
        <v>111101</v>
      </c>
      <c r="E24" s="22" t="s">
        <v>33</v>
      </c>
      <c r="F24" s="23">
        <v>12593.355</v>
      </c>
      <c r="G24" s="22">
        <v>2051260000</v>
      </c>
    </row>
    <row r="25" spans="2:7" x14ac:dyDescent="0.3">
      <c r="B25" s="22" t="s">
        <v>200</v>
      </c>
      <c r="C25" s="22" t="s">
        <v>172</v>
      </c>
      <c r="D25" s="22" t="s">
        <v>167</v>
      </c>
      <c r="E25" s="22" t="s">
        <v>168</v>
      </c>
      <c r="F25" s="23">
        <v>0</v>
      </c>
      <c r="G25" s="22">
        <v>2060441000</v>
      </c>
    </row>
    <row r="26" spans="2:7" x14ac:dyDescent="0.3">
      <c r="B26" s="22" t="s">
        <v>201</v>
      </c>
      <c r="C26" s="22" t="s">
        <v>172</v>
      </c>
      <c r="D26" s="22">
        <v>111111</v>
      </c>
      <c r="E26" s="22" t="s">
        <v>22</v>
      </c>
      <c r="F26" s="23">
        <v>-1252.8369999999998</v>
      </c>
      <c r="G26" s="22">
        <v>2060441000</v>
      </c>
    </row>
    <row r="27" spans="2:7" x14ac:dyDescent="0.3">
      <c r="B27" s="22" t="s">
        <v>52</v>
      </c>
      <c r="C27" s="22" t="s">
        <v>53</v>
      </c>
      <c r="D27" s="22" t="s">
        <v>54</v>
      </c>
      <c r="E27" s="22" t="s">
        <v>55</v>
      </c>
      <c r="F27" s="23">
        <v>-1418521.358</v>
      </c>
      <c r="G27" s="22">
        <v>2069010000</v>
      </c>
    </row>
    <row r="28" spans="2:7" x14ac:dyDescent="0.3">
      <c r="B28" s="22" t="s">
        <v>151</v>
      </c>
      <c r="C28" s="22" t="s">
        <v>53</v>
      </c>
      <c r="D28" s="22">
        <v>19</v>
      </c>
      <c r="E28" s="22" t="s">
        <v>57</v>
      </c>
      <c r="F28" s="23">
        <v>-622966.38600000006</v>
      </c>
      <c r="G28" s="22">
        <v>2069010000</v>
      </c>
    </row>
    <row r="29" spans="2:7" x14ac:dyDescent="0.3">
      <c r="B29" s="22" t="s">
        <v>152</v>
      </c>
      <c r="C29" s="22" t="s">
        <v>53</v>
      </c>
      <c r="D29" s="22" t="s">
        <v>153</v>
      </c>
      <c r="E29" s="22" t="s">
        <v>154</v>
      </c>
      <c r="F29" s="23">
        <v>0</v>
      </c>
      <c r="G29" s="22">
        <v>2069010000</v>
      </c>
    </row>
    <row r="30" spans="2:7" x14ac:dyDescent="0.3">
      <c r="B30" s="22" t="s">
        <v>155</v>
      </c>
      <c r="C30" s="22" t="s">
        <v>53</v>
      </c>
      <c r="D30" s="22" t="s">
        <v>131</v>
      </c>
      <c r="E30" s="22" t="s">
        <v>132</v>
      </c>
      <c r="F30" s="23">
        <v>0</v>
      </c>
      <c r="G30" s="22">
        <v>2069010000</v>
      </c>
    </row>
    <row r="31" spans="2:7" x14ac:dyDescent="0.3">
      <c r="B31" s="22" t="s">
        <v>63</v>
      </c>
      <c r="C31" s="22" t="s">
        <v>53</v>
      </c>
      <c r="D31" s="22">
        <v>1009</v>
      </c>
      <c r="E31" s="22" t="s">
        <v>27</v>
      </c>
      <c r="F31" s="23">
        <v>0</v>
      </c>
      <c r="G31" s="22">
        <v>2069010000</v>
      </c>
    </row>
    <row r="32" spans="2:7" x14ac:dyDescent="0.3">
      <c r="B32" s="22" t="s">
        <v>64</v>
      </c>
      <c r="C32" s="22" t="s">
        <v>53</v>
      </c>
      <c r="D32" s="22">
        <v>1007</v>
      </c>
      <c r="E32" s="22" t="s">
        <v>29</v>
      </c>
      <c r="F32" s="23">
        <v>0</v>
      </c>
      <c r="G32" s="22">
        <v>2069010000</v>
      </c>
    </row>
    <row r="33" spans="2:7" x14ac:dyDescent="0.3">
      <c r="B33" s="22" t="s">
        <v>65</v>
      </c>
      <c r="C33" s="22" t="s">
        <v>53</v>
      </c>
      <c r="D33" s="22">
        <v>1008</v>
      </c>
      <c r="E33" s="22" t="s">
        <v>31</v>
      </c>
      <c r="F33" s="23">
        <v>0</v>
      </c>
      <c r="G33" s="22">
        <v>2069010000</v>
      </c>
    </row>
    <row r="34" spans="2:7" x14ac:dyDescent="0.3">
      <c r="B34" s="22" t="s">
        <v>66</v>
      </c>
      <c r="C34" s="22" t="s">
        <v>53</v>
      </c>
      <c r="D34" s="22">
        <v>1240</v>
      </c>
      <c r="E34" s="22" t="s">
        <v>67</v>
      </c>
      <c r="F34" s="23">
        <v>0</v>
      </c>
      <c r="G34" s="22">
        <v>2069010000</v>
      </c>
    </row>
    <row r="35" spans="2:7" x14ac:dyDescent="0.3">
      <c r="B35" s="22" t="s">
        <v>202</v>
      </c>
      <c r="C35" s="22" t="s">
        <v>53</v>
      </c>
      <c r="D35" s="22">
        <v>1006</v>
      </c>
      <c r="E35" s="22" t="s">
        <v>182</v>
      </c>
      <c r="F35" s="23">
        <v>0</v>
      </c>
      <c r="G35" s="22">
        <v>2069010000</v>
      </c>
    </row>
    <row r="36" spans="2:7" x14ac:dyDescent="0.3">
      <c r="B36" s="22" t="s">
        <v>64</v>
      </c>
      <c r="C36" s="22" t="s">
        <v>53</v>
      </c>
      <c r="D36" s="22">
        <v>1007</v>
      </c>
      <c r="E36" s="22" t="s">
        <v>156</v>
      </c>
      <c r="F36" s="23">
        <v>0</v>
      </c>
      <c r="G36" s="22">
        <v>2069010000</v>
      </c>
    </row>
    <row r="37" spans="2:7" x14ac:dyDescent="0.3">
      <c r="B37" s="22" t="s">
        <v>157</v>
      </c>
      <c r="C37" s="22" t="s">
        <v>53</v>
      </c>
      <c r="D37" s="22" t="s">
        <v>158</v>
      </c>
      <c r="E37" s="22" t="s">
        <v>159</v>
      </c>
      <c r="F37" s="23">
        <v>-1948832.1429999999</v>
      </c>
      <c r="G37" s="22">
        <v>2069010000</v>
      </c>
    </row>
    <row r="38" spans="2:7" x14ac:dyDescent="0.3">
      <c r="B38" s="22" t="s">
        <v>68</v>
      </c>
      <c r="C38" s="22" t="s">
        <v>53</v>
      </c>
      <c r="D38" s="22">
        <v>111111</v>
      </c>
      <c r="E38" s="22" t="s">
        <v>22</v>
      </c>
      <c r="F38" s="23">
        <v>-902857.84299999999</v>
      </c>
      <c r="G38" s="22">
        <v>2069010000</v>
      </c>
    </row>
    <row r="39" spans="2:7" x14ac:dyDescent="0.3">
      <c r="B39" s="22" t="s">
        <v>203</v>
      </c>
      <c r="C39" s="22" t="s">
        <v>204</v>
      </c>
      <c r="D39" s="22">
        <v>111111</v>
      </c>
      <c r="E39" s="22" t="s">
        <v>22</v>
      </c>
      <c r="F39" s="23">
        <v>-61499.999999999993</v>
      </c>
      <c r="G39" s="22">
        <v>2069020000</v>
      </c>
    </row>
    <row r="40" spans="2:7" x14ac:dyDescent="0.3">
      <c r="B40" s="22" t="s">
        <v>205</v>
      </c>
      <c r="C40" s="22" t="s">
        <v>70</v>
      </c>
      <c r="D40" s="22">
        <v>105</v>
      </c>
      <c r="E40" s="22" t="s">
        <v>102</v>
      </c>
      <c r="F40" s="23">
        <v>-30913.425999999996</v>
      </c>
      <c r="G40" s="22">
        <v>2069980000</v>
      </c>
    </row>
    <row r="41" spans="2:7" x14ac:dyDescent="0.3">
      <c r="B41" s="22" t="s">
        <v>69</v>
      </c>
      <c r="C41" s="22" t="s">
        <v>70</v>
      </c>
      <c r="D41" s="22">
        <v>111111</v>
      </c>
      <c r="E41" s="22" t="s">
        <v>22</v>
      </c>
      <c r="F41" s="23">
        <v>-15872.001999999999</v>
      </c>
      <c r="G41" s="22">
        <v>2069980000</v>
      </c>
    </row>
    <row r="42" spans="2:7" x14ac:dyDescent="0.3">
      <c r="B42" s="22" t="s">
        <v>71</v>
      </c>
      <c r="C42" s="22" t="s">
        <v>72</v>
      </c>
      <c r="D42" s="22">
        <v>111111</v>
      </c>
      <c r="E42" s="22" t="s">
        <v>22</v>
      </c>
      <c r="F42" s="23">
        <v>57.317999999999998</v>
      </c>
      <c r="G42" s="22">
        <v>2070400000</v>
      </c>
    </row>
    <row r="43" spans="2:7" x14ac:dyDescent="0.3">
      <c r="B43" s="22" t="s">
        <v>75</v>
      </c>
      <c r="C43" s="22" t="s">
        <v>74</v>
      </c>
      <c r="D43" s="22">
        <v>111111</v>
      </c>
      <c r="E43" s="22" t="s">
        <v>22</v>
      </c>
      <c r="F43" s="23">
        <v>19198.66</v>
      </c>
      <c r="G43" s="22">
        <v>2070500000</v>
      </c>
    </row>
    <row r="44" spans="2:7" x14ac:dyDescent="0.3">
      <c r="B44" s="22" t="s">
        <v>206</v>
      </c>
      <c r="C44" s="22" t="s">
        <v>77</v>
      </c>
      <c r="D44" s="22">
        <v>105</v>
      </c>
      <c r="E44" s="22" t="s">
        <v>102</v>
      </c>
      <c r="F44" s="23">
        <v>-1423120</v>
      </c>
      <c r="G44" s="22">
        <v>2070600000</v>
      </c>
    </row>
    <row r="45" spans="2:7" x14ac:dyDescent="0.3">
      <c r="B45" s="22" t="s">
        <v>76</v>
      </c>
      <c r="C45" s="22" t="s">
        <v>77</v>
      </c>
      <c r="D45" s="22">
        <v>111111</v>
      </c>
      <c r="E45" s="22" t="s">
        <v>22</v>
      </c>
      <c r="F45" s="23">
        <v>-172933.44899999999</v>
      </c>
      <c r="G45" s="22">
        <v>2070600000</v>
      </c>
    </row>
    <row r="46" spans="2:7" x14ac:dyDescent="0.3">
      <c r="B46" s="22" t="s">
        <v>163</v>
      </c>
      <c r="C46" s="22" t="s">
        <v>79</v>
      </c>
      <c r="D46" s="22">
        <v>105</v>
      </c>
      <c r="E46" s="22" t="s">
        <v>102</v>
      </c>
      <c r="F46" s="23">
        <v>473575.46100000001</v>
      </c>
      <c r="G46" s="22">
        <v>2070900000</v>
      </c>
    </row>
    <row r="47" spans="2:7" x14ac:dyDescent="0.3">
      <c r="B47" s="22" t="s">
        <v>85</v>
      </c>
      <c r="C47" s="22" t="s">
        <v>79</v>
      </c>
      <c r="D47" s="22">
        <v>111111</v>
      </c>
      <c r="E47" s="22" t="s">
        <v>22</v>
      </c>
      <c r="F47" s="23">
        <v>1481408.47</v>
      </c>
      <c r="G47" s="22">
        <v>2070900000</v>
      </c>
    </row>
    <row r="48" spans="2:7" x14ac:dyDescent="0.3">
      <c r="B48" s="22" t="s">
        <v>86</v>
      </c>
      <c r="C48" s="22" t="s">
        <v>87</v>
      </c>
      <c r="D48" s="22">
        <v>111111</v>
      </c>
      <c r="E48" s="22" t="s">
        <v>22</v>
      </c>
      <c r="F48" s="23">
        <v>40048.799999999996</v>
      </c>
      <c r="G48" s="22">
        <v>2071000000</v>
      </c>
    </row>
    <row r="49" spans="2:7" x14ac:dyDescent="0.3">
      <c r="B49" s="22" t="s">
        <v>207</v>
      </c>
      <c r="C49" s="22" t="s">
        <v>89</v>
      </c>
      <c r="D49" s="22">
        <v>88</v>
      </c>
      <c r="E49" s="22" t="s">
        <v>40</v>
      </c>
      <c r="F49" s="23">
        <v>584.66</v>
      </c>
      <c r="G49" s="22">
        <v>2071100000</v>
      </c>
    </row>
    <row r="50" spans="2:7" x14ac:dyDescent="0.3">
      <c r="B50" s="22" t="s">
        <v>88</v>
      </c>
      <c r="C50" s="22" t="s">
        <v>89</v>
      </c>
      <c r="D50" s="22">
        <v>111111</v>
      </c>
      <c r="E50" s="22" t="s">
        <v>22</v>
      </c>
      <c r="F50" s="23">
        <v>64039.82699999999</v>
      </c>
      <c r="G50" s="22">
        <v>2071100000</v>
      </c>
    </row>
    <row r="51" spans="2:7" x14ac:dyDescent="0.3">
      <c r="B51" s="22" t="s">
        <v>208</v>
      </c>
      <c r="C51" s="22" t="s">
        <v>209</v>
      </c>
      <c r="D51" s="22">
        <v>111111</v>
      </c>
      <c r="E51" s="22" t="s">
        <v>22</v>
      </c>
      <c r="F51" s="23">
        <v>1352.9999999999998</v>
      </c>
      <c r="G51" s="22">
        <v>2071209100</v>
      </c>
    </row>
    <row r="52" spans="2:7" x14ac:dyDescent="0.3">
      <c r="B52" s="22" t="s">
        <v>90</v>
      </c>
      <c r="C52" s="22" t="s">
        <v>91</v>
      </c>
      <c r="D52" s="22">
        <v>111111</v>
      </c>
      <c r="E52" s="22" t="s">
        <v>22</v>
      </c>
      <c r="F52" s="23">
        <v>2514431.8869999996</v>
      </c>
      <c r="G52" s="22">
        <v>2071209200</v>
      </c>
    </row>
    <row r="53" spans="2:7" x14ac:dyDescent="0.3">
      <c r="B53" s="22" t="s">
        <v>92</v>
      </c>
      <c r="C53" s="22" t="s">
        <v>93</v>
      </c>
      <c r="D53" s="22">
        <v>111111</v>
      </c>
      <c r="E53" s="22" t="s">
        <v>22</v>
      </c>
      <c r="F53" s="23">
        <v>4194.2999999999993</v>
      </c>
      <c r="G53" s="22">
        <v>2071209400</v>
      </c>
    </row>
    <row r="54" spans="2:7" x14ac:dyDescent="0.3">
      <c r="B54" s="22" t="s">
        <v>94</v>
      </c>
      <c r="C54" s="22" t="s">
        <v>95</v>
      </c>
      <c r="D54" s="22">
        <v>111111</v>
      </c>
      <c r="E54" s="22" t="s">
        <v>22</v>
      </c>
      <c r="F54" s="23">
        <v>106525.708</v>
      </c>
      <c r="G54" s="22">
        <v>2071209500</v>
      </c>
    </row>
    <row r="55" spans="2:7" x14ac:dyDescent="0.3">
      <c r="B55" s="22" t="s">
        <v>96</v>
      </c>
      <c r="C55" s="22" t="s">
        <v>97</v>
      </c>
      <c r="D55" s="22">
        <v>111101</v>
      </c>
      <c r="E55" s="22" t="s">
        <v>33</v>
      </c>
      <c r="F55" s="23">
        <v>109811.284</v>
      </c>
      <c r="G55" s="22">
        <v>2071980000</v>
      </c>
    </row>
    <row r="56" spans="2:7" x14ac:dyDescent="0.3">
      <c r="B56" s="22" t="s">
        <v>98</v>
      </c>
      <c r="C56" s="22" t="s">
        <v>99</v>
      </c>
      <c r="D56" s="22">
        <v>111111</v>
      </c>
      <c r="E56" s="22" t="s">
        <v>22</v>
      </c>
      <c r="F56" s="23">
        <v>61111.483999999997</v>
      </c>
      <c r="G56" s="22">
        <v>2079022000</v>
      </c>
    </row>
    <row r="57" spans="2:7" x14ac:dyDescent="0.3">
      <c r="B57" s="22" t="s">
        <v>178</v>
      </c>
      <c r="C57" s="22" t="s">
        <v>101</v>
      </c>
      <c r="D57" s="22" t="s">
        <v>140</v>
      </c>
      <c r="E57" s="22" t="s">
        <v>141</v>
      </c>
      <c r="F57" s="23">
        <v>0</v>
      </c>
      <c r="G57" s="22">
        <v>2079070000</v>
      </c>
    </row>
    <row r="58" spans="2:7" x14ac:dyDescent="0.3">
      <c r="B58" s="22" t="s">
        <v>100</v>
      </c>
      <c r="C58" s="22" t="s">
        <v>101</v>
      </c>
      <c r="D58" s="22">
        <v>105</v>
      </c>
      <c r="E58" s="22" t="s">
        <v>102</v>
      </c>
      <c r="F58" s="23">
        <v>1684415.2999999998</v>
      </c>
      <c r="G58" s="22">
        <v>2079070000</v>
      </c>
    </row>
    <row r="59" spans="2:7" x14ac:dyDescent="0.3">
      <c r="B59" s="22" t="s">
        <v>103</v>
      </c>
      <c r="C59" s="22" t="s">
        <v>101</v>
      </c>
      <c r="D59" s="22">
        <v>111111</v>
      </c>
      <c r="E59" s="22" t="s">
        <v>22</v>
      </c>
      <c r="F59" s="23">
        <v>575626.2649999999</v>
      </c>
      <c r="G59" s="22">
        <v>2079070000</v>
      </c>
    </row>
    <row r="60" spans="2:7" x14ac:dyDescent="0.3">
      <c r="B60" s="22" t="s">
        <v>179</v>
      </c>
      <c r="C60" s="22" t="s">
        <v>105</v>
      </c>
      <c r="D60" s="22" t="s">
        <v>131</v>
      </c>
      <c r="E60" s="22" t="s">
        <v>132</v>
      </c>
      <c r="F60" s="23">
        <v>0</v>
      </c>
      <c r="G60" s="22">
        <v>2079080000</v>
      </c>
    </row>
    <row r="61" spans="2:7" x14ac:dyDescent="0.3">
      <c r="B61" s="22" t="s">
        <v>106</v>
      </c>
      <c r="C61" s="22" t="s">
        <v>105</v>
      </c>
      <c r="D61" s="22">
        <v>1007</v>
      </c>
      <c r="E61" s="22" t="s">
        <v>156</v>
      </c>
      <c r="F61" s="23">
        <v>0</v>
      </c>
      <c r="G61" s="22">
        <v>2079080000</v>
      </c>
    </row>
    <row r="62" spans="2:7" x14ac:dyDescent="0.3">
      <c r="B62" s="22" t="s">
        <v>180</v>
      </c>
      <c r="C62" s="22" t="s">
        <v>109</v>
      </c>
      <c r="D62" s="22" t="s">
        <v>131</v>
      </c>
      <c r="E62" s="22" t="s">
        <v>132</v>
      </c>
      <c r="F62" s="23">
        <v>0</v>
      </c>
      <c r="G62" s="22">
        <v>2082280000</v>
      </c>
    </row>
    <row r="63" spans="2:7" x14ac:dyDescent="0.3">
      <c r="B63" s="22" t="s">
        <v>108</v>
      </c>
      <c r="C63" s="22" t="s">
        <v>109</v>
      </c>
      <c r="D63" s="22">
        <v>1009</v>
      </c>
      <c r="E63" s="22" t="s">
        <v>27</v>
      </c>
      <c r="F63" s="23">
        <v>0</v>
      </c>
      <c r="G63" s="22">
        <v>2082280000</v>
      </c>
    </row>
    <row r="64" spans="2:7" x14ac:dyDescent="0.3">
      <c r="B64" s="22" t="s">
        <v>110</v>
      </c>
      <c r="C64" s="22" t="s">
        <v>109</v>
      </c>
      <c r="D64" s="22">
        <v>1007</v>
      </c>
      <c r="E64" s="22" t="s">
        <v>29</v>
      </c>
      <c r="F64" s="23">
        <v>0</v>
      </c>
      <c r="G64" s="22">
        <v>2082280000</v>
      </c>
    </row>
    <row r="65" spans="2:7" x14ac:dyDescent="0.3">
      <c r="B65" s="22" t="s">
        <v>111</v>
      </c>
      <c r="C65" s="22" t="s">
        <v>109</v>
      </c>
      <c r="D65" s="22">
        <v>1008</v>
      </c>
      <c r="E65" s="22" t="s">
        <v>31</v>
      </c>
      <c r="F65" s="23">
        <v>0</v>
      </c>
      <c r="G65" s="22">
        <v>2082280000</v>
      </c>
    </row>
    <row r="66" spans="2:7" x14ac:dyDescent="0.3">
      <c r="B66" s="22" t="s">
        <v>112</v>
      </c>
      <c r="C66" s="22" t="s">
        <v>109</v>
      </c>
      <c r="D66" s="22">
        <v>1240</v>
      </c>
      <c r="E66" s="22" t="s">
        <v>67</v>
      </c>
      <c r="F66" s="23">
        <v>0</v>
      </c>
      <c r="G66" s="22">
        <v>2082280000</v>
      </c>
    </row>
    <row r="67" spans="2:7" x14ac:dyDescent="0.3">
      <c r="B67" s="22" t="s">
        <v>181</v>
      </c>
      <c r="C67" s="22" t="s">
        <v>109</v>
      </c>
      <c r="D67" s="22">
        <v>1006</v>
      </c>
      <c r="E67" s="22" t="s">
        <v>182</v>
      </c>
      <c r="F67" s="23">
        <v>0</v>
      </c>
      <c r="G67" s="22">
        <v>2082280000</v>
      </c>
    </row>
    <row r="68" spans="2:7" x14ac:dyDescent="0.3">
      <c r="B68" s="22" t="s">
        <v>113</v>
      </c>
      <c r="C68" s="22" t="s">
        <v>109</v>
      </c>
      <c r="D68" s="22">
        <v>111111</v>
      </c>
      <c r="E68" s="22" t="s">
        <v>22</v>
      </c>
      <c r="F68" s="23">
        <v>-73809.511999999988</v>
      </c>
      <c r="G68" s="22">
        <v>2082280000</v>
      </c>
    </row>
    <row r="69" spans="2:7" x14ac:dyDescent="0.3">
      <c r="B69" s="22" t="s">
        <v>116</v>
      </c>
      <c r="C69" s="22" t="s">
        <v>117</v>
      </c>
      <c r="D69" s="22">
        <v>111101</v>
      </c>
      <c r="E69" s="22" t="s">
        <v>33</v>
      </c>
      <c r="F69" s="23">
        <v>7173.195999999999</v>
      </c>
      <c r="G69" s="22">
        <v>2082208200</v>
      </c>
    </row>
    <row r="70" spans="2:7" x14ac:dyDescent="0.3">
      <c r="B70" s="22" t="s">
        <v>118</v>
      </c>
      <c r="C70" s="22" t="s">
        <v>119</v>
      </c>
      <c r="D70" s="22">
        <v>88</v>
      </c>
      <c r="E70" s="22" t="s">
        <v>40</v>
      </c>
      <c r="F70" s="23">
        <v>2324465.8859999999</v>
      </c>
      <c r="G70" s="22">
        <v>2082214000</v>
      </c>
    </row>
    <row r="71" spans="2:7" x14ac:dyDescent="0.3">
      <c r="B71" s="22" t="s">
        <v>183</v>
      </c>
      <c r="C71" s="22" t="s">
        <v>119</v>
      </c>
      <c r="D71" s="22">
        <v>1007</v>
      </c>
      <c r="E71" s="22" t="s">
        <v>156</v>
      </c>
      <c r="F71" s="23">
        <v>0</v>
      </c>
      <c r="G71" s="22">
        <v>2082214000</v>
      </c>
    </row>
    <row r="72" spans="2:7" x14ac:dyDescent="0.3">
      <c r="B72" s="22" t="s">
        <v>184</v>
      </c>
      <c r="C72" s="22" t="s">
        <v>119</v>
      </c>
      <c r="D72" s="22">
        <v>111111</v>
      </c>
      <c r="E72" s="22" t="s">
        <v>22</v>
      </c>
      <c r="F72" s="23">
        <v>51.454999999999998</v>
      </c>
      <c r="G72" s="22">
        <v>2082214000</v>
      </c>
    </row>
    <row r="73" spans="2:7" x14ac:dyDescent="0.3">
      <c r="B73" s="22" t="s">
        <v>210</v>
      </c>
      <c r="C73" s="22" t="s">
        <v>186</v>
      </c>
      <c r="D73" s="22">
        <v>111101</v>
      </c>
      <c r="E73" s="22" t="s">
        <v>33</v>
      </c>
      <c r="F73" s="23">
        <v>0</v>
      </c>
      <c r="G73" s="22">
        <v>2082110000</v>
      </c>
    </row>
    <row r="74" spans="2:7" x14ac:dyDescent="0.3">
      <c r="B74" s="22" t="s">
        <v>120</v>
      </c>
      <c r="C74" s="22" t="s">
        <v>121</v>
      </c>
      <c r="D74" s="22">
        <v>111101</v>
      </c>
      <c r="E74" s="22" t="s">
        <v>33</v>
      </c>
      <c r="F74" s="23">
        <v>2558.1950000000002</v>
      </c>
      <c r="G74" s="22">
        <v>2091200000</v>
      </c>
    </row>
    <row r="75" spans="2:7" x14ac:dyDescent="0.3">
      <c r="B75" s="22" t="s">
        <v>122</v>
      </c>
      <c r="C75" s="22" t="s">
        <v>123</v>
      </c>
      <c r="D75" s="22">
        <v>111101</v>
      </c>
      <c r="E75" s="22" t="s">
        <v>33</v>
      </c>
      <c r="F75" s="23">
        <v>522710.353</v>
      </c>
      <c r="G75" s="22">
        <v>2091200001</v>
      </c>
    </row>
    <row r="76" spans="2:7" x14ac:dyDescent="0.3">
      <c r="B76" s="22" t="s">
        <v>124</v>
      </c>
      <c r="C76" s="22" t="s">
        <v>125</v>
      </c>
      <c r="D76" s="22">
        <v>111101</v>
      </c>
      <c r="E76" s="22" t="s">
        <v>33</v>
      </c>
      <c r="F76" s="23">
        <v>-160303.52199999997</v>
      </c>
      <c r="G76" s="22">
        <v>2092200000</v>
      </c>
    </row>
    <row r="77" spans="2:7" x14ac:dyDescent="0.3">
      <c r="B77" s="22" t="s">
        <v>211</v>
      </c>
      <c r="C77" s="22" t="s">
        <v>212</v>
      </c>
      <c r="D77" s="22">
        <v>111101</v>
      </c>
      <c r="E77" s="22" t="s">
        <v>33</v>
      </c>
      <c r="F77" s="23">
        <v>0</v>
      </c>
      <c r="G77" s="22">
        <v>2111111997</v>
      </c>
    </row>
    <row r="78" spans="2:7" x14ac:dyDescent="0.3">
      <c r="B78" s="22" t="s">
        <v>189</v>
      </c>
      <c r="C78" s="22" t="s">
        <v>127</v>
      </c>
      <c r="D78" s="22">
        <v>111101</v>
      </c>
      <c r="E78" s="22" t="s">
        <v>33</v>
      </c>
      <c r="F78" s="23">
        <v>-779290.47600000002</v>
      </c>
      <c r="G78" s="22">
        <v>2111111999</v>
      </c>
    </row>
    <row r="79" spans="2:7" x14ac:dyDescent="0.3">
      <c r="D79" s="20"/>
    </row>
    <row r="80" spans="2:7" x14ac:dyDescent="0.3">
      <c r="D80" s="20"/>
    </row>
    <row r="81" spans="4:4" x14ac:dyDescent="0.3">
      <c r="D81" s="20"/>
    </row>
    <row r="82" spans="4:4" x14ac:dyDescent="0.3">
      <c r="D82" s="20"/>
    </row>
    <row r="83" spans="4:4" x14ac:dyDescent="0.3">
      <c r="D83" s="20"/>
    </row>
    <row r="84" spans="4:4" x14ac:dyDescent="0.3">
      <c r="D84" s="20"/>
    </row>
    <row r="85" spans="4:4" x14ac:dyDescent="0.3">
      <c r="D85" s="20"/>
    </row>
    <row r="86" spans="4:4" x14ac:dyDescent="0.3">
      <c r="D86" s="20"/>
    </row>
    <row r="87" spans="4:4" x14ac:dyDescent="0.3">
      <c r="D87" s="20"/>
    </row>
    <row r="88" spans="4:4" x14ac:dyDescent="0.3">
      <c r="D88" s="20"/>
    </row>
    <row r="89" spans="4:4" x14ac:dyDescent="0.3">
      <c r="D89" s="20"/>
    </row>
    <row r="90" spans="4:4" x14ac:dyDescent="0.3">
      <c r="D90" s="20"/>
    </row>
    <row r="91" spans="4:4" x14ac:dyDescent="0.3">
      <c r="D91" s="20"/>
    </row>
    <row r="92" spans="4:4" x14ac:dyDescent="0.3">
      <c r="D92" s="20"/>
    </row>
    <row r="93" spans="4:4" x14ac:dyDescent="0.3">
      <c r="D93" s="20"/>
    </row>
    <row r="94" spans="4:4" x14ac:dyDescent="0.3">
      <c r="D94" s="20"/>
    </row>
    <row r="95" spans="4:4" x14ac:dyDescent="0.3">
      <c r="D95" s="20"/>
    </row>
    <row r="96" spans="4:4" x14ac:dyDescent="0.3">
      <c r="D96" s="20"/>
    </row>
    <row r="97" spans="4:4" x14ac:dyDescent="0.3">
      <c r="D97" s="20"/>
    </row>
    <row r="98" spans="4:4" x14ac:dyDescent="0.3">
      <c r="D98" s="20"/>
    </row>
    <row r="99" spans="4:4" x14ac:dyDescent="0.3">
      <c r="D99" s="20"/>
    </row>
    <row r="100" spans="4:4" x14ac:dyDescent="0.3">
      <c r="D100" s="20"/>
    </row>
    <row r="101" spans="4:4" x14ac:dyDescent="0.3">
      <c r="D101" s="20"/>
    </row>
    <row r="102" spans="4:4" x14ac:dyDescent="0.3">
      <c r="D102" s="20"/>
    </row>
    <row r="103" spans="4:4" x14ac:dyDescent="0.3">
      <c r="D103" s="20"/>
    </row>
    <row r="104" spans="4:4" x14ac:dyDescent="0.3">
      <c r="D104" s="20"/>
    </row>
    <row r="105" spans="4:4" x14ac:dyDescent="0.3">
      <c r="D105" s="20"/>
    </row>
    <row r="106" spans="4:4" x14ac:dyDescent="0.3">
      <c r="D106" s="20"/>
    </row>
    <row r="107" spans="4:4" x14ac:dyDescent="0.3">
      <c r="D107" s="20"/>
    </row>
    <row r="108" spans="4:4" x14ac:dyDescent="0.3">
      <c r="D108" s="20"/>
    </row>
    <row r="109" spans="4:4" x14ac:dyDescent="0.3">
      <c r="D109" s="20"/>
    </row>
    <row r="110" spans="4:4" x14ac:dyDescent="0.3">
      <c r="D110" s="20"/>
    </row>
    <row r="111" spans="4:4" x14ac:dyDescent="0.3">
      <c r="D111" s="20"/>
    </row>
    <row r="112" spans="4:4" x14ac:dyDescent="0.3">
      <c r="D112" s="20"/>
    </row>
    <row r="113" spans="4:4" x14ac:dyDescent="0.3">
      <c r="D113" s="20"/>
    </row>
    <row r="114" spans="4:4" x14ac:dyDescent="0.3">
      <c r="D114" s="20"/>
    </row>
    <row r="115" spans="4:4" x14ac:dyDescent="0.3">
      <c r="D115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E2BBC-04C1-48FA-9554-4D0348BFFD63}">
  <dimension ref="B1:J108"/>
  <sheetViews>
    <sheetView zoomScaleNormal="100" workbookViewId="0"/>
  </sheetViews>
  <sheetFormatPr defaultColWidth="9.109375" defaultRowHeight="15.6" x14ac:dyDescent="0.3"/>
  <cols>
    <col min="1" max="1" width="4.77734375" style="17" customWidth="1"/>
    <col min="2" max="2" width="33.33203125" style="17" bestFit="1" customWidth="1"/>
    <col min="3" max="3" width="33.33203125" style="17" customWidth="1"/>
    <col min="4" max="4" width="19.44140625" style="17" bestFit="1" customWidth="1"/>
    <col min="5" max="5" width="29.109375" style="17" bestFit="1" customWidth="1"/>
    <col min="6" max="6" width="13.6640625" style="17" bestFit="1" customWidth="1"/>
    <col min="7" max="8" width="12.88671875" style="17" bestFit="1" customWidth="1"/>
    <col min="9" max="9" width="25.6640625" style="17" bestFit="1" customWidth="1"/>
    <col min="10" max="10" width="25.109375" style="17" bestFit="1" customWidth="1"/>
    <col min="11" max="11" width="9.21875" style="17" bestFit="1" customWidth="1"/>
    <col min="12" max="16384" width="9.109375" style="17"/>
  </cols>
  <sheetData>
    <row r="1" spans="2:10" ht="21" x14ac:dyDescent="0.4">
      <c r="B1" s="4" t="s">
        <v>213</v>
      </c>
    </row>
    <row r="3" spans="2:10" ht="16.2" x14ac:dyDescent="0.35">
      <c r="B3" s="51" t="s">
        <v>14</v>
      </c>
      <c r="C3" s="51" t="s">
        <v>15</v>
      </c>
      <c r="D3" s="51" t="s">
        <v>16</v>
      </c>
      <c r="E3" s="51" t="s">
        <v>17</v>
      </c>
      <c r="F3" s="51" t="s">
        <v>214</v>
      </c>
      <c r="G3" s="51" t="s">
        <v>215</v>
      </c>
      <c r="H3" s="51" t="s">
        <v>216</v>
      </c>
      <c r="I3" s="51" t="s">
        <v>217</v>
      </c>
      <c r="J3" s="51" t="s">
        <v>245</v>
      </c>
    </row>
    <row r="4" spans="2:10" x14ac:dyDescent="0.3">
      <c r="B4" s="24" t="s">
        <v>20</v>
      </c>
      <c r="C4" s="24" t="str">
        <f>VLOOKUP(B4,'1.1 FY2024'!$B$4:$G$61,2,FALSE)</f>
        <v>Core business revenues</v>
      </c>
      <c r="D4" s="24">
        <f>VLOOKUP(B4,'1.1 FY2024'!$B$4:$G$61,3,FALSE)</f>
        <v>111111</v>
      </c>
      <c r="E4" s="24" t="str">
        <f>VLOOKUP(B4,'1.1 FY2024'!$B$4:$G$61,4,FALSE)</f>
        <v>External</v>
      </c>
      <c r="F4" s="25">
        <f>-SUMIF('1.1 FY2024'!$B:$B,Database!B4,'1.1 FY2024'!$F:$F)</f>
        <v>14500341</v>
      </c>
      <c r="G4" s="25">
        <f>-SUMIF('1.2 FY2025'!$B:$B,Database!B4,'1.2 FY2025'!$F:$F)</f>
        <v>15792898.75</v>
      </c>
      <c r="H4" s="25">
        <f>-SUMIF('1.3 FY2026'!$B:$B,Database!B4,'1.3 FY2026'!$F:$F)</f>
        <v>14431341</v>
      </c>
      <c r="I4" s="24" t="s">
        <v>218</v>
      </c>
      <c r="J4" s="24">
        <f>COUNTIF('P&amp;L Model'!$B$4:$B$24,Database!I4)</f>
        <v>1</v>
      </c>
    </row>
    <row r="5" spans="2:10" x14ac:dyDescent="0.3">
      <c r="B5" s="24" t="s">
        <v>23</v>
      </c>
      <c r="C5" s="24" t="str">
        <f>VLOOKUP(B5,'1.1 FY2024'!$B$4:$G$61,2,FALSE)</f>
        <v>Other revenues</v>
      </c>
      <c r="D5" s="24">
        <f>VLOOKUP(B5,'1.1 FY2024'!$B$4:$G$61,3,FALSE)</f>
        <v>111111</v>
      </c>
      <c r="E5" s="24" t="str">
        <f>VLOOKUP(B5,'1.1 FY2024'!$B$4:$G$61,4,FALSE)</f>
        <v>External</v>
      </c>
      <c r="F5" s="25">
        <f>-SUMIF('1.1 FY2024'!$B:$B,Database!B5,'1.1 FY2024'!$F:$F)</f>
        <v>4794856.1919999998</v>
      </c>
      <c r="G5" s="25">
        <f>-SUMIF('1.2 FY2025'!$B:$B,Database!B5,'1.2 FY2025'!$F:$F)</f>
        <v>6960217.6449999996</v>
      </c>
      <c r="H5" s="25">
        <f>-SUMIF('1.3 FY2026'!$B:$B,Database!B5,'1.3 FY2026'!$F:$F)</f>
        <v>6373617.5140000004</v>
      </c>
      <c r="I5" s="24" t="s">
        <v>24</v>
      </c>
      <c r="J5" s="24">
        <f>COUNTIF('P&amp;L Model'!$B$4:$B$24,Database!I5)</f>
        <v>1</v>
      </c>
    </row>
    <row r="6" spans="2:10" x14ac:dyDescent="0.3">
      <c r="B6" s="24" t="s">
        <v>25</v>
      </c>
      <c r="C6" s="24" t="str">
        <f>VLOOKUP(B6,'1.1 FY2024'!$B$4:$G$61,2,FALSE)</f>
        <v>Capitalized costs</v>
      </c>
      <c r="D6" s="24">
        <f>VLOOKUP(B6,'1.1 FY2024'!$B$4:$G$61,3,FALSE)</f>
        <v>1009</v>
      </c>
      <c r="E6" s="24" t="str">
        <f>VLOOKUP(B6,'1.1 FY2024'!$B$4:$G$61,4,FALSE)</f>
        <v>Green Ventures Ltd</v>
      </c>
      <c r="F6" s="25">
        <f>-SUMIF('1.1 FY2024'!$B:$B,Database!B6,'1.1 FY2024'!$F:$F)</f>
        <v>154890.4</v>
      </c>
      <c r="G6" s="25">
        <f>-SUMIF('1.2 FY2025'!$B:$B,Database!B6,'1.2 FY2025'!$F:$F)</f>
        <v>0</v>
      </c>
      <c r="H6" s="25">
        <f>-SUMIF('1.3 FY2026'!$B:$B,Database!B6,'1.3 FY2026'!$F:$F)</f>
        <v>0</v>
      </c>
      <c r="I6" s="24" t="s">
        <v>26</v>
      </c>
      <c r="J6" s="24">
        <f>COUNTIF('P&amp;L Model'!$B$4:$B$24,Database!I6)</f>
        <v>1</v>
      </c>
    </row>
    <row r="7" spans="2:10" x14ac:dyDescent="0.3">
      <c r="B7" s="24" t="s">
        <v>28</v>
      </c>
      <c r="C7" s="24" t="str">
        <f>VLOOKUP(B7,'1.1 FY2024'!$B$4:$G$61,2,FALSE)</f>
        <v>Capitalized costs</v>
      </c>
      <c r="D7" s="24">
        <f>VLOOKUP(B7,'1.1 FY2024'!$B$4:$G$61,3,FALSE)</f>
        <v>1007</v>
      </c>
      <c r="E7" s="24" t="str">
        <f>VLOOKUP(B7,'1.1 FY2024'!$B$4:$G$61,4,FALSE)</f>
        <v>Generco Sunshine JSC</v>
      </c>
      <c r="F7" s="25">
        <f>-SUMIF('1.1 FY2024'!$B:$B,Database!B7,'1.1 FY2024'!$F:$F)</f>
        <v>1180894.0520000001</v>
      </c>
      <c r="G7" s="25">
        <f>-SUMIF('1.2 FY2025'!$B:$B,Database!B7,'1.2 FY2025'!$F:$F)</f>
        <v>89234.880000000005</v>
      </c>
      <c r="H7" s="25">
        <f>-SUMIF('1.3 FY2026'!$B:$B,Database!B7,'1.3 FY2026'!$F:$F)</f>
        <v>0</v>
      </c>
      <c r="I7" s="24" t="s">
        <v>26</v>
      </c>
      <c r="J7" s="24">
        <f>COUNTIF('P&amp;L Model'!$B$4:$B$24,Database!I7)</f>
        <v>1</v>
      </c>
    </row>
    <row r="8" spans="2:10" x14ac:dyDescent="0.3">
      <c r="B8" s="24" t="s">
        <v>30</v>
      </c>
      <c r="C8" s="24" t="str">
        <f>VLOOKUP(B8,'1.1 FY2024'!$B$4:$G$61,2,FALSE)</f>
        <v>Capitalized costs</v>
      </c>
      <c r="D8" s="24">
        <f>VLOOKUP(B8,'1.1 FY2024'!$B$4:$G$61,3,FALSE)</f>
        <v>1008</v>
      </c>
      <c r="E8" s="24" t="str">
        <f>VLOOKUP(B8,'1.1 FY2024'!$B$4:$G$61,4,FALSE)</f>
        <v>Greenco Ltd</v>
      </c>
      <c r="F8" s="25">
        <f>-SUMIF('1.1 FY2024'!$B:$B,Database!B8,'1.1 FY2024'!$F:$F)</f>
        <v>793079.51199999999</v>
      </c>
      <c r="G8" s="25">
        <f>-SUMIF('1.2 FY2025'!$B:$B,Database!B8,'1.2 FY2025'!$F:$F)</f>
        <v>26173</v>
      </c>
      <c r="H8" s="25">
        <f>-SUMIF('1.3 FY2026'!$B:$B,Database!B8,'1.3 FY2026'!$F:$F)</f>
        <v>0</v>
      </c>
      <c r="I8" s="24" t="s">
        <v>26</v>
      </c>
      <c r="J8" s="24">
        <f>COUNTIF('P&amp;L Model'!$B$4:$B$24,Database!I8)</f>
        <v>1</v>
      </c>
    </row>
    <row r="9" spans="2:10" x14ac:dyDescent="0.3">
      <c r="B9" s="24" t="s">
        <v>32</v>
      </c>
      <c r="C9" s="24" t="str">
        <f>VLOOKUP(B9,'1.1 FY2024'!$B$4:$G$61,2,FALSE)</f>
        <v>Capitalized costs</v>
      </c>
      <c r="D9" s="24">
        <f>VLOOKUP(B9,'1.1 FY2024'!$B$4:$G$61,3,FALSE)</f>
        <v>111101</v>
      </c>
      <c r="E9" s="24" t="str">
        <f>VLOOKUP(B9,'1.1 FY2024'!$B$4:$G$61,4,FALSE)</f>
        <v>Not assigned</v>
      </c>
      <c r="F9" s="25">
        <f>-SUMIF('1.1 FY2024'!$B:$B,Database!B9,'1.1 FY2024'!$F:$F)</f>
        <v>2277197.6</v>
      </c>
      <c r="G9" s="25">
        <f>-SUMIF('1.2 FY2025'!$B:$B,Database!B9,'1.2 FY2025'!$F:$F)</f>
        <v>209401.92</v>
      </c>
      <c r="H9" s="25">
        <f>-SUMIF('1.3 FY2026'!$B:$B,Database!B9,'1.3 FY2026'!$F:$F)</f>
        <v>0</v>
      </c>
      <c r="I9" s="24" t="s">
        <v>26</v>
      </c>
      <c r="J9" s="24">
        <f>COUNTIF('P&amp;L Model'!$B$4:$B$24,Database!I9)</f>
        <v>1</v>
      </c>
    </row>
    <row r="10" spans="2:10" x14ac:dyDescent="0.3">
      <c r="B10" s="24" t="s">
        <v>34</v>
      </c>
      <c r="C10" s="24" t="str">
        <f>VLOOKUP(B10,'1.1 FY2024'!$B$4:$G$61,2,FALSE)</f>
        <v>Direct costs</v>
      </c>
      <c r="D10" s="24">
        <f>VLOOKUP(B10,'1.1 FY2024'!$B$4:$G$61,3,FALSE)</f>
        <v>111111</v>
      </c>
      <c r="E10" s="24" t="str">
        <f>VLOOKUP(B10,'1.1 FY2024'!$B$4:$G$61,4,FALSE)</f>
        <v>External</v>
      </c>
      <c r="F10" s="25">
        <f>-SUMIF('1.1 FY2024'!$B:$B,Database!B10,'1.1 FY2024'!$F:$F)</f>
        <v>-4428911.7640000004</v>
      </c>
      <c r="G10" s="25">
        <f>-SUMIF('1.2 FY2025'!$B:$B,Database!B10,'1.2 FY2025'!$F:$F)</f>
        <v>-5463188.8250000002</v>
      </c>
      <c r="H10" s="25">
        <f>-SUMIF('1.3 FY2026'!$B:$B,Database!B10,'1.3 FY2026'!$F:$F)</f>
        <v>-5674152.0669999998</v>
      </c>
      <c r="I10" s="24" t="s">
        <v>35</v>
      </c>
      <c r="J10" s="24">
        <f>COUNTIF('P&amp;L Model'!$B$4:$B$24,Database!I10)</f>
        <v>1</v>
      </c>
    </row>
    <row r="11" spans="2:10" x14ac:dyDescent="0.3">
      <c r="B11" s="24" t="s">
        <v>36</v>
      </c>
      <c r="C11" s="24" t="str">
        <f>VLOOKUP(B11,'1.1 FY2024'!$B$4:$G$61,2,FALSE)</f>
        <v>Freight outbound expenses</v>
      </c>
      <c r="D11" s="24">
        <f>VLOOKUP(B11,'1.1 FY2024'!$B$4:$G$61,3,FALSE)</f>
        <v>111111</v>
      </c>
      <c r="E11" s="24" t="str">
        <f>VLOOKUP(B11,'1.1 FY2024'!$B$4:$G$61,4,FALSE)</f>
        <v>External</v>
      </c>
      <c r="F11" s="25">
        <f>-SUMIF('1.1 FY2024'!$B:$B,Database!B11,'1.1 FY2024'!$F:$F)</f>
        <v>-16977.628000000001</v>
      </c>
      <c r="G11" s="25">
        <f>-SUMIF('1.2 FY2025'!$B:$B,Database!B11,'1.2 FY2025'!$F:$F)</f>
        <v>-343675</v>
      </c>
      <c r="H11" s="25">
        <f>-SUMIF('1.3 FY2026'!$B:$B,Database!B11,'1.3 FY2026'!$F:$F)</f>
        <v>-350370.99399999995</v>
      </c>
      <c r="I11" s="24" t="s">
        <v>219</v>
      </c>
      <c r="J11" s="24">
        <f>COUNTIF('P&amp;L Model'!$B$4:$B$24,Database!I11)</f>
        <v>1</v>
      </c>
    </row>
    <row r="12" spans="2:10" x14ac:dyDescent="0.3">
      <c r="B12" s="24" t="s">
        <v>38</v>
      </c>
      <c r="C12" s="24" t="str">
        <f>VLOOKUP(B12,'1.1 FY2024'!$B$4:$G$61,2,FALSE)</f>
        <v>R&amp;D expenses</v>
      </c>
      <c r="D12" s="24">
        <f>VLOOKUP(B12,'1.1 FY2024'!$B$4:$G$61,3,FALSE)</f>
        <v>88</v>
      </c>
      <c r="E12" s="24" t="str">
        <f>VLOOKUP(B12,'1.1 FY2024'!$B$4:$G$61,4,FALSE)</f>
        <v>Generco Ltd</v>
      </c>
      <c r="F12" s="25">
        <f>-SUMIF('1.1 FY2024'!$B:$B,Database!B12,'1.1 FY2024'!$F:$F)</f>
        <v>-2245437.54</v>
      </c>
      <c r="G12" s="25">
        <f>-SUMIF('1.2 FY2025'!$B:$B,Database!B12,'1.2 FY2025'!$F:$F)</f>
        <v>-1980162.23</v>
      </c>
      <c r="H12" s="25">
        <f>-SUMIF('1.3 FY2026'!$B:$B,Database!B12,'1.3 FY2026'!$F:$F)</f>
        <v>-3116017.1540000001</v>
      </c>
      <c r="I12" s="24" t="s">
        <v>219</v>
      </c>
      <c r="J12" s="24">
        <f>COUNTIF('P&amp;L Model'!$B$4:$B$24,Database!I12)</f>
        <v>1</v>
      </c>
    </row>
    <row r="13" spans="2:10" x14ac:dyDescent="0.3">
      <c r="B13" s="24" t="s">
        <v>41</v>
      </c>
      <c r="C13" s="24" t="str">
        <f>VLOOKUP(B13,'1.1 FY2024'!$B$4:$G$61,2,FALSE)</f>
        <v>R&amp;D expenses</v>
      </c>
      <c r="D13" s="24">
        <f>VLOOKUP(B13,'1.1 FY2024'!$B$4:$G$61,3,FALSE)</f>
        <v>111111</v>
      </c>
      <c r="E13" s="24" t="str">
        <f>VLOOKUP(B13,'1.1 FY2024'!$B$4:$G$61,4,FALSE)</f>
        <v>External</v>
      </c>
      <c r="F13" s="25">
        <f>-SUMIF('1.1 FY2024'!$B:$B,Database!B13,'1.1 FY2024'!$F:$F)</f>
        <v>-16605.634000000002</v>
      </c>
      <c r="G13" s="25">
        <f>-SUMIF('1.2 FY2025'!$B:$B,Database!B13,'1.2 FY2025'!$F:$F)</f>
        <v>-27148.625</v>
      </c>
      <c r="H13" s="25">
        <f>-SUMIF('1.3 FY2026'!$B:$B,Database!B13,'1.3 FY2026'!$F:$F)</f>
        <v>-9783.7069999999985</v>
      </c>
      <c r="I13" s="24" t="s">
        <v>219</v>
      </c>
      <c r="J13" s="24">
        <f>COUNTIF('P&amp;L Model'!$B$4:$B$24,Database!I13)</f>
        <v>1</v>
      </c>
    </row>
    <row r="14" spans="2:10" x14ac:dyDescent="0.3">
      <c r="B14" s="24" t="s">
        <v>42</v>
      </c>
      <c r="C14" s="24" t="str">
        <f>VLOOKUP(B14,'1.1 FY2024'!$B$4:$G$61,2,FALSE)</f>
        <v>Wages and salaries</v>
      </c>
      <c r="D14" s="24">
        <f>VLOOKUP(B14,'1.1 FY2024'!$B$4:$G$61,3,FALSE)</f>
        <v>111111</v>
      </c>
      <c r="E14" s="24" t="str">
        <f>VLOOKUP(B14,'1.1 FY2024'!$B$4:$G$61,4,FALSE)</f>
        <v>External</v>
      </c>
      <c r="F14" s="25">
        <f>-SUMIF('1.1 FY2024'!$B:$B,Database!B14,'1.1 FY2024'!$F:$F)</f>
        <v>-4683394.0460000001</v>
      </c>
      <c r="G14" s="25">
        <f>-SUMIF('1.2 FY2025'!$B:$B,Database!B14,'1.2 FY2025'!$F:$F)</f>
        <v>-5507141.0549999997</v>
      </c>
      <c r="H14" s="25">
        <f>-SUMIF('1.3 FY2026'!$B:$B,Database!B14,'1.3 FY2026'!$F:$F)</f>
        <v>-3982699.5329999998</v>
      </c>
      <c r="I14" s="24" t="s">
        <v>220</v>
      </c>
      <c r="J14" s="24">
        <f>COUNTIF('P&amp;L Model'!$B$4:$B$24,Database!I14)</f>
        <v>1</v>
      </c>
    </row>
    <row r="15" spans="2:10" x14ac:dyDescent="0.3">
      <c r="B15" s="24" t="s">
        <v>44</v>
      </c>
      <c r="C15" s="24" t="str">
        <f>VLOOKUP(B15,'1.1 FY2024'!$B$4:$G$61,2,FALSE)</f>
        <v>Pension contributions</v>
      </c>
      <c r="D15" s="24">
        <f>VLOOKUP(B15,'1.1 FY2024'!$B$4:$G$61,3,FALSE)</f>
        <v>111101</v>
      </c>
      <c r="E15" s="24" t="str">
        <f>VLOOKUP(B15,'1.1 FY2024'!$B$4:$G$61,4,FALSE)</f>
        <v>Not assigned</v>
      </c>
      <c r="F15" s="25">
        <f>-SUMIF('1.1 FY2024'!$B:$B,Database!B15,'1.1 FY2024'!$F:$F)</f>
        <v>-1143051.5760000001</v>
      </c>
      <c r="G15" s="25">
        <f>-SUMIF('1.2 FY2025'!$B:$B,Database!B15,'1.2 FY2025'!$F:$F)</f>
        <v>-2057298.04</v>
      </c>
      <c r="H15" s="25">
        <f>-SUMIF('1.3 FY2026'!$B:$B,Database!B15,'1.3 FY2026'!$F:$F)</f>
        <v>-1709688.6429999997</v>
      </c>
      <c r="I15" s="24" t="s">
        <v>220</v>
      </c>
      <c r="J15" s="24">
        <f>COUNTIF('P&amp;L Model'!$B$4:$B$24,Database!I15)</f>
        <v>1</v>
      </c>
    </row>
    <row r="16" spans="2:10" x14ac:dyDescent="0.3">
      <c r="B16" s="24" t="s">
        <v>46</v>
      </c>
      <c r="C16" s="24" t="str">
        <f>VLOOKUP(B16,'1.1 FY2024'!$B$4:$G$61,2,FALSE)</f>
        <v>Pension contributions</v>
      </c>
      <c r="D16" s="24">
        <f>VLOOKUP(B16,'1.1 FY2024'!$B$4:$G$61,3,FALSE)</f>
        <v>88</v>
      </c>
      <c r="E16" s="24" t="str">
        <f>VLOOKUP(B16,'1.1 FY2024'!$B$4:$G$61,4,FALSE)</f>
        <v>Generco Ltd</v>
      </c>
      <c r="F16" s="25">
        <f>-SUMIF('1.1 FY2024'!$B:$B,Database!B16,'1.1 FY2024'!$F:$F)</f>
        <v>-239379.61800000002</v>
      </c>
      <c r="G16" s="25">
        <f>-SUMIF('1.2 FY2025'!$B:$B,Database!B16,'1.2 FY2025'!$F:$F)</f>
        <v>0</v>
      </c>
      <c r="H16" s="25">
        <f>-SUMIF('1.3 FY2026'!$B:$B,Database!B16,'1.3 FY2026'!$F:$F)</f>
        <v>0</v>
      </c>
      <c r="I16" s="24" t="s">
        <v>220</v>
      </c>
      <c r="J16" s="24">
        <f>COUNTIF('P&amp;L Model'!$B$4:$B$24,Database!I16)</f>
        <v>1</v>
      </c>
    </row>
    <row r="17" spans="2:10" x14ac:dyDescent="0.3">
      <c r="B17" s="24" t="s">
        <v>47</v>
      </c>
      <c r="C17" s="24" t="str">
        <f>VLOOKUP(B17,'1.1 FY2024'!$B$4:$G$61,2,FALSE)</f>
        <v>Severance indemnity contribution</v>
      </c>
      <c r="D17" s="24">
        <f>VLOOKUP(B17,'1.1 FY2024'!$B$4:$G$61,3,FALSE)</f>
        <v>111101</v>
      </c>
      <c r="E17" s="24" t="str">
        <f>VLOOKUP(B17,'1.1 FY2024'!$B$4:$G$61,4,FALSE)</f>
        <v>Not assigned</v>
      </c>
      <c r="F17" s="25">
        <f>-SUMIF('1.1 FY2024'!$B:$B,Database!B17,'1.1 FY2024'!$F:$F)</f>
        <v>-104913.8</v>
      </c>
      <c r="G17" s="25">
        <f>-SUMIF('1.2 FY2025'!$B:$B,Database!B17,'1.2 FY2025'!$F:$F)</f>
        <v>-500500</v>
      </c>
      <c r="H17" s="25">
        <f>-SUMIF('1.3 FY2026'!$B:$B,Database!B17,'1.3 FY2026'!$F:$F)</f>
        <v>-143500</v>
      </c>
      <c r="I17" s="24" t="s">
        <v>220</v>
      </c>
      <c r="J17" s="24">
        <f>COUNTIF('P&amp;L Model'!$B$4:$B$24,Database!I17)</f>
        <v>1</v>
      </c>
    </row>
    <row r="18" spans="2:10" x14ac:dyDescent="0.3">
      <c r="B18" s="24" t="s">
        <v>49</v>
      </c>
      <c r="C18" s="24" t="str">
        <f>VLOOKUP(B18,'1.1 FY2024'!$B$4:$G$61,2,FALSE)</f>
        <v>D&amp;A</v>
      </c>
      <c r="D18" s="24">
        <f>VLOOKUP(B18,'1.1 FY2024'!$B$4:$G$61,3,FALSE)</f>
        <v>111101</v>
      </c>
      <c r="E18" s="24" t="str">
        <f>VLOOKUP(B18,'1.1 FY2024'!$B$4:$G$61,4,FALSE)</f>
        <v>Not assigned</v>
      </c>
      <c r="F18" s="25">
        <f>-SUMIF('1.1 FY2024'!$B:$B,Database!B18,'1.1 FY2024'!$F:$F)</f>
        <v>-2003262.2180000001</v>
      </c>
      <c r="G18" s="25">
        <f>-SUMIF('1.2 FY2025'!$B:$B,Database!B18,'1.2 FY2025'!$F:$F)</f>
        <v>-1897676.87</v>
      </c>
      <c r="H18" s="25">
        <f>-SUMIF('1.3 FY2026'!$B:$B,Database!B18,'1.3 FY2026'!$F:$F)</f>
        <v>-1875768.159</v>
      </c>
      <c r="I18" s="24" t="s">
        <v>50</v>
      </c>
      <c r="J18" s="24">
        <f>COUNTIF('P&amp;L Model'!$B$4:$B$24,Database!I18)</f>
        <v>1</v>
      </c>
    </row>
    <row r="19" spans="2:10" x14ac:dyDescent="0.3">
      <c r="B19" s="24" t="s">
        <v>51</v>
      </c>
      <c r="C19" s="24" t="str">
        <f>VLOOKUP(B19,'1.1 FY2024'!$B$4:$G$61,2,FALSE)</f>
        <v>D&amp;A</v>
      </c>
      <c r="D19" s="24">
        <f>VLOOKUP(B19,'1.1 FY2024'!$B$4:$G$61,3,FALSE)</f>
        <v>1</v>
      </c>
      <c r="E19" s="24" t="str">
        <f>VLOOKUP(B19,'1.1 FY2024'!$B$4:$G$61,4,FALSE)</f>
        <v>Not assigned</v>
      </c>
      <c r="F19" s="25">
        <f>-SUMIF('1.1 FY2024'!$B:$B,Database!B19,'1.1 FY2024'!$F:$F)</f>
        <v>-41981.296000000002</v>
      </c>
      <c r="G19" s="25">
        <f>-SUMIF('1.2 FY2025'!$B:$B,Database!B19,'1.2 FY2025'!$F:$F)</f>
        <v>0</v>
      </c>
      <c r="H19" s="25">
        <f>-SUMIF('1.3 FY2026'!$B:$B,Database!B19,'1.3 FY2026'!$F:$F)</f>
        <v>0</v>
      </c>
      <c r="I19" s="24" t="s">
        <v>50</v>
      </c>
      <c r="J19" s="24">
        <f>COUNTIF('P&amp;L Model'!$B$4:$B$24,Database!I19)</f>
        <v>1</v>
      </c>
    </row>
    <row r="20" spans="2:10" x14ac:dyDescent="0.3">
      <c r="B20" s="24" t="s">
        <v>52</v>
      </c>
      <c r="C20" s="24" t="str">
        <f>VLOOKUP(B20,'1.1 FY2024'!$B$4:$G$61,2,FALSE)</f>
        <v>Corporate recharges</v>
      </c>
      <c r="D20" s="24" t="str">
        <f>VLOOKUP(B20,'1.1 FY2024'!$B$4:$G$61,3,FALSE)</f>
        <v>1</v>
      </c>
      <c r="E20" s="24" t="str">
        <f>VLOOKUP(B20,'1.1 FY2024'!$B$4:$G$61,4,FALSE)</f>
        <v>Greeny Ltd</v>
      </c>
      <c r="F20" s="25">
        <f>-SUMIF('1.1 FY2024'!$B:$B,Database!B20,'1.1 FY2024'!$F:$F)</f>
        <v>2156147.4</v>
      </c>
      <c r="G20" s="25">
        <f>-SUMIF('1.2 FY2025'!$B:$B,Database!B20,'1.2 FY2025'!$F:$F)</f>
        <v>1643711.145</v>
      </c>
      <c r="H20" s="25">
        <f>-SUMIF('1.3 FY2026'!$B:$B,Database!B20,'1.3 FY2026'!$F:$F)</f>
        <v>1418521.358</v>
      </c>
      <c r="I20" s="24" t="s">
        <v>221</v>
      </c>
      <c r="J20" s="24">
        <f>COUNTIF('P&amp;L Model'!$B$4:$B$24,Database!I20)</f>
        <v>1</v>
      </c>
    </row>
    <row r="21" spans="2:10" x14ac:dyDescent="0.3">
      <c r="B21" s="24" t="s">
        <v>56</v>
      </c>
      <c r="C21" s="24" t="str">
        <f>VLOOKUP(B21,'1.1 FY2024'!$B$4:$G$61,2,FALSE)</f>
        <v>Corporate recharges</v>
      </c>
      <c r="D21" s="24">
        <f>VLOOKUP(B21,'1.1 FY2024'!$B$4:$G$61,3,FALSE)</f>
        <v>14</v>
      </c>
      <c r="E21" s="24" t="str">
        <f>VLOOKUP(B21,'1.1 FY2024'!$B$4:$G$61,4,FALSE)</f>
        <v>Generco Cosmetics Ltd</v>
      </c>
      <c r="F21" s="25">
        <f>-SUMIF('1.1 FY2024'!$B:$B,Database!B21,'1.1 FY2024'!$F:$F)</f>
        <v>291428.55199999997</v>
      </c>
      <c r="G21" s="25">
        <f>-SUMIF('1.2 FY2025'!$B:$B,Database!B21,'1.2 FY2025'!$F:$F)</f>
        <v>0</v>
      </c>
      <c r="H21" s="25">
        <f>-SUMIF('1.3 FY2026'!$B:$B,Database!B21,'1.3 FY2026'!$F:$F)</f>
        <v>0</v>
      </c>
      <c r="I21" s="24" t="s">
        <v>221</v>
      </c>
      <c r="J21" s="24">
        <f>COUNTIF('P&amp;L Model'!$B$4:$B$24,Database!I21)</f>
        <v>1</v>
      </c>
    </row>
    <row r="22" spans="2:10" x14ac:dyDescent="0.3">
      <c r="B22" s="24" t="s">
        <v>58</v>
      </c>
      <c r="C22" s="24" t="str">
        <f>VLOOKUP(B22,'1.1 FY2024'!$B$4:$G$61,2,FALSE)</f>
        <v>Corporate recharges</v>
      </c>
      <c r="D22" s="24">
        <f>VLOOKUP(B22,'1.1 FY2024'!$B$4:$G$61,3,FALSE)</f>
        <v>1037</v>
      </c>
      <c r="E22" s="24" t="str">
        <f>VLOOKUP(B22,'1.1 FY2024'!$B$4:$G$61,4,FALSE)</f>
        <v>Generco Canada JSC</v>
      </c>
      <c r="F22" s="25">
        <f>-SUMIF('1.1 FY2024'!$B:$B,Database!B22,'1.1 FY2024'!$F:$F)</f>
        <v>0</v>
      </c>
      <c r="G22" s="25">
        <f>-SUMIF('1.2 FY2025'!$B:$B,Database!B22,'1.2 FY2025'!$F:$F)</f>
        <v>0</v>
      </c>
      <c r="H22" s="25">
        <f>-SUMIF('1.3 FY2026'!$B:$B,Database!B22,'1.3 FY2026'!$F:$F)</f>
        <v>0</v>
      </c>
      <c r="I22" s="24" t="s">
        <v>221</v>
      </c>
      <c r="J22" s="24">
        <f>COUNTIF('P&amp;L Model'!$B$4:$B$24,Database!I22)</f>
        <v>1</v>
      </c>
    </row>
    <row r="23" spans="2:10" x14ac:dyDescent="0.3">
      <c r="B23" s="24" t="s">
        <v>60</v>
      </c>
      <c r="C23" s="24" t="str">
        <f>VLOOKUP(B23,'1.1 FY2024'!$B$4:$G$61,2,FALSE)</f>
        <v>Corporate recharges</v>
      </c>
      <c r="D23" s="24" t="str">
        <f>VLOOKUP(B23,'1.1 FY2024'!$B$4:$G$61,3,FALSE)</f>
        <v>1087</v>
      </c>
      <c r="E23" s="24" t="str">
        <f>VLOOKUP(B23,'1.1 FY2024'!$B$4:$G$61,4,FALSE)</f>
        <v>Gener Beauty GmbH</v>
      </c>
      <c r="F23" s="25">
        <f>-SUMIF('1.1 FY2024'!$B:$B,Database!B23,'1.1 FY2024'!$F:$F)</f>
        <v>33736.5</v>
      </c>
      <c r="G23" s="25">
        <f>-SUMIF('1.2 FY2025'!$B:$B,Database!B23,'1.2 FY2025'!$F:$F)</f>
        <v>0</v>
      </c>
      <c r="H23" s="25">
        <f>-SUMIF('1.3 FY2026'!$B:$B,Database!B23,'1.3 FY2026'!$F:$F)</f>
        <v>0</v>
      </c>
      <c r="I23" s="24" t="s">
        <v>221</v>
      </c>
      <c r="J23" s="24">
        <f>COUNTIF('P&amp;L Model'!$B$4:$B$24,Database!I23)</f>
        <v>1</v>
      </c>
    </row>
    <row r="24" spans="2:10" x14ac:dyDescent="0.3">
      <c r="B24" s="24" t="s">
        <v>63</v>
      </c>
      <c r="C24" s="24" t="str">
        <f>VLOOKUP(B24,'1.1 FY2024'!$B$4:$G$61,2,FALSE)</f>
        <v>Corporate recharges</v>
      </c>
      <c r="D24" s="24">
        <f>VLOOKUP(B24,'1.1 FY2024'!$B$4:$G$61,3,FALSE)</f>
        <v>1009</v>
      </c>
      <c r="E24" s="24" t="str">
        <f>VLOOKUP(B24,'1.1 FY2024'!$B$4:$G$61,4,FALSE)</f>
        <v>Green Ventures Ltd</v>
      </c>
      <c r="F24" s="25">
        <f>-SUMIF('1.1 FY2024'!$B:$B,Database!B24,'1.1 FY2024'!$F:$F)</f>
        <v>0</v>
      </c>
      <c r="G24" s="25">
        <f>-SUMIF('1.2 FY2025'!$B:$B,Database!B24,'1.2 FY2025'!$F:$F)</f>
        <v>0</v>
      </c>
      <c r="H24" s="25">
        <f>-SUMIF('1.3 FY2026'!$B:$B,Database!B24,'1.3 FY2026'!$F:$F)</f>
        <v>0</v>
      </c>
      <c r="I24" s="24" t="s">
        <v>221</v>
      </c>
      <c r="J24" s="24">
        <f>COUNTIF('P&amp;L Model'!$B$4:$B$24,Database!I24)</f>
        <v>1</v>
      </c>
    </row>
    <row r="25" spans="2:10" x14ac:dyDescent="0.3">
      <c r="B25" s="24" t="s">
        <v>64</v>
      </c>
      <c r="C25" s="24" t="str">
        <f>VLOOKUP(B25,'1.1 FY2024'!$B$4:$G$61,2,FALSE)</f>
        <v>Corporate recharges</v>
      </c>
      <c r="D25" s="24">
        <f>VLOOKUP(B25,'1.1 FY2024'!$B$4:$G$61,3,FALSE)</f>
        <v>1007</v>
      </c>
      <c r="E25" s="24" t="str">
        <f>VLOOKUP(B25,'1.1 FY2024'!$B$4:$G$61,4,FALSE)</f>
        <v>Generco Sunshine JSC</v>
      </c>
      <c r="F25" s="25">
        <f>-SUMIF('1.1 FY2024'!$B:$B,Database!B25,'1.1 FY2024'!$F:$F)</f>
        <v>0</v>
      </c>
      <c r="G25" s="25">
        <f>-SUMIF('1.2 FY2025'!$B:$B,Database!B25,'1.2 FY2025'!$F:$F)</f>
        <v>0</v>
      </c>
      <c r="H25" s="25">
        <f>-SUMIF('1.3 FY2026'!$B:$B,Database!B25,'1.3 FY2026'!$F:$F)</f>
        <v>0</v>
      </c>
      <c r="I25" s="24" t="s">
        <v>221</v>
      </c>
      <c r="J25" s="24">
        <f>COUNTIF('P&amp;L Model'!$B$4:$B$24,Database!I25)</f>
        <v>1</v>
      </c>
    </row>
    <row r="26" spans="2:10" x14ac:dyDescent="0.3">
      <c r="B26" s="24" t="s">
        <v>65</v>
      </c>
      <c r="C26" s="24" t="str">
        <f>VLOOKUP(B26,'1.1 FY2024'!$B$4:$G$61,2,FALSE)</f>
        <v>Corporate recharges</v>
      </c>
      <c r="D26" s="24">
        <f>VLOOKUP(B26,'1.1 FY2024'!$B$4:$G$61,3,FALSE)</f>
        <v>1008</v>
      </c>
      <c r="E26" s="24" t="str">
        <f>VLOOKUP(B26,'1.1 FY2024'!$B$4:$G$61,4,FALSE)</f>
        <v>Greenco Ltd</v>
      </c>
      <c r="F26" s="25">
        <f>-SUMIF('1.1 FY2024'!$B:$B,Database!B26,'1.1 FY2024'!$F:$F)</f>
        <v>0</v>
      </c>
      <c r="G26" s="25">
        <f>-SUMIF('1.2 FY2025'!$B:$B,Database!B26,'1.2 FY2025'!$F:$F)</f>
        <v>0</v>
      </c>
      <c r="H26" s="25">
        <f>-SUMIF('1.3 FY2026'!$B:$B,Database!B26,'1.3 FY2026'!$F:$F)</f>
        <v>0</v>
      </c>
      <c r="I26" s="24" t="s">
        <v>221</v>
      </c>
      <c r="J26" s="24">
        <f>COUNTIF('P&amp;L Model'!$B$4:$B$24,Database!I26)</f>
        <v>1</v>
      </c>
    </row>
    <row r="27" spans="2:10" x14ac:dyDescent="0.3">
      <c r="B27" s="24" t="s">
        <v>66</v>
      </c>
      <c r="C27" s="24" t="str">
        <f>VLOOKUP(B27,'1.1 FY2024'!$B$4:$G$61,2,FALSE)</f>
        <v>Corporate recharges</v>
      </c>
      <c r="D27" s="24">
        <f>VLOOKUP(B27,'1.1 FY2024'!$B$4:$G$61,3,FALSE)</f>
        <v>1240</v>
      </c>
      <c r="E27" s="24" t="str">
        <f>VLOOKUP(B27,'1.1 FY2024'!$B$4:$G$61,4,FALSE)</f>
        <v xml:space="preserve">Generco UK </v>
      </c>
      <c r="F27" s="25">
        <f>-SUMIF('1.1 FY2024'!$B:$B,Database!B27,'1.1 FY2024'!$F:$F)</f>
        <v>199600.4</v>
      </c>
      <c r="G27" s="25">
        <f>-SUMIF('1.2 FY2025'!$B:$B,Database!B27,'1.2 FY2025'!$F:$F)</f>
        <v>10461.36</v>
      </c>
      <c r="H27" s="25">
        <f>-SUMIF('1.3 FY2026'!$B:$B,Database!B27,'1.3 FY2026'!$F:$F)</f>
        <v>0</v>
      </c>
      <c r="I27" s="24" t="s">
        <v>221</v>
      </c>
      <c r="J27" s="24">
        <f>COUNTIF('P&amp;L Model'!$B$4:$B$24,Database!I27)</f>
        <v>1</v>
      </c>
    </row>
    <row r="28" spans="2:10" x14ac:dyDescent="0.3">
      <c r="B28" s="24" t="s">
        <v>68</v>
      </c>
      <c r="C28" s="24" t="str">
        <f>VLOOKUP(B28,'1.1 FY2024'!$B$4:$G$61,2,FALSE)</f>
        <v>Corporate recharges</v>
      </c>
      <c r="D28" s="24">
        <f>VLOOKUP(B28,'1.1 FY2024'!$B$4:$G$61,3,FALSE)</f>
        <v>111111</v>
      </c>
      <c r="E28" s="24" t="str">
        <f>VLOOKUP(B28,'1.1 FY2024'!$B$4:$G$61,4,FALSE)</f>
        <v>External</v>
      </c>
      <c r="F28" s="25">
        <f>-SUMIF('1.1 FY2024'!$B:$B,Database!B28,'1.1 FY2024'!$F:$F)</f>
        <v>539141.4</v>
      </c>
      <c r="G28" s="25">
        <f>-SUMIF('1.2 FY2025'!$B:$B,Database!B28,'1.2 FY2025'!$F:$F)</f>
        <v>6785.94</v>
      </c>
      <c r="H28" s="25">
        <f>-SUMIF('1.3 FY2026'!$B:$B,Database!B28,'1.3 FY2026'!$F:$F)</f>
        <v>902857.84299999999</v>
      </c>
      <c r="I28" s="24" t="s">
        <v>221</v>
      </c>
      <c r="J28" s="24">
        <f>COUNTIF('P&amp;L Model'!$B$4:$B$24,Database!I28)</f>
        <v>1</v>
      </c>
    </row>
    <row r="29" spans="2:10" x14ac:dyDescent="0.3">
      <c r="B29" s="24" t="s">
        <v>69</v>
      </c>
      <c r="C29" s="24" t="str">
        <f>VLOOKUP(B29,'1.1 FY2024'!$B$4:$G$61,2,FALSE)</f>
        <v>Other income</v>
      </c>
      <c r="D29" s="24">
        <f>VLOOKUP(B29,'1.1 FY2024'!$B$4:$G$61,3,FALSE)</f>
        <v>111111</v>
      </c>
      <c r="E29" s="24" t="str">
        <f>VLOOKUP(B29,'1.1 FY2024'!$B$4:$G$61,4,FALSE)</f>
        <v>External</v>
      </c>
      <c r="F29" s="25">
        <f>-SUMIF('1.1 FY2024'!$B:$B,Database!B29,'1.1 FY2024'!$F:$F)</f>
        <v>57.221999999999994</v>
      </c>
      <c r="G29" s="25">
        <f>-SUMIF('1.2 FY2025'!$B:$B,Database!B29,'1.2 FY2025'!$F:$F)</f>
        <v>-9793.84</v>
      </c>
      <c r="H29" s="25">
        <f>-SUMIF('1.3 FY2026'!$B:$B,Database!B29,'1.3 FY2026'!$F:$F)</f>
        <v>15872.001999999999</v>
      </c>
      <c r="I29" s="24" t="s">
        <v>70</v>
      </c>
      <c r="J29" s="24">
        <f>COUNTIF('P&amp;L Model'!$B$4:$B$24,Database!I29)</f>
        <v>1</v>
      </c>
    </row>
    <row r="30" spans="2:10" x14ac:dyDescent="0.3">
      <c r="B30" s="24" t="s">
        <v>71</v>
      </c>
      <c r="C30" s="24" t="str">
        <f>VLOOKUP(B30,'1.1 FY2024'!$B$4:$G$61,2,FALSE)</f>
        <v>Marketing expenses</v>
      </c>
      <c r="D30" s="24">
        <f>VLOOKUP(B30,'1.1 FY2024'!$B$4:$G$61,3,FALSE)</f>
        <v>111111</v>
      </c>
      <c r="E30" s="24" t="str">
        <f>VLOOKUP(B30,'1.1 FY2024'!$B$4:$G$61,4,FALSE)</f>
        <v>External</v>
      </c>
      <c r="F30" s="25">
        <f>-SUMIF('1.1 FY2024'!$B:$B,Database!B30,'1.1 FY2024'!$F:$F)</f>
        <v>-22314.879999999997</v>
      </c>
      <c r="G30" s="25">
        <f>-SUMIF('1.2 FY2025'!$B:$B,Database!B30,'1.2 FY2025'!$F:$F)</f>
        <v>-65947.7</v>
      </c>
      <c r="H30" s="25">
        <f>-SUMIF('1.3 FY2026'!$B:$B,Database!B30,'1.3 FY2026'!$F:$F)</f>
        <v>-57.317999999999998</v>
      </c>
      <c r="I30" s="24" t="s">
        <v>219</v>
      </c>
      <c r="J30" s="24">
        <f>COUNTIF('P&amp;L Model'!$B$4:$B$24,Database!I30)</f>
        <v>1</v>
      </c>
    </row>
    <row r="31" spans="2:10" x14ac:dyDescent="0.3">
      <c r="B31" s="24" t="s">
        <v>73</v>
      </c>
      <c r="C31" s="24" t="str">
        <f>VLOOKUP(B31,'1.1 FY2024'!$B$4:$G$61,2,FALSE)</f>
        <v>Software&amp;IT</v>
      </c>
      <c r="D31" s="24">
        <f>VLOOKUP(B31,'1.1 FY2024'!$B$4:$G$61,3,FALSE)</f>
        <v>88</v>
      </c>
      <c r="E31" s="24" t="str">
        <f>VLOOKUP(B31,'1.1 FY2024'!$B$4:$G$61,4,FALSE)</f>
        <v>Generco Ltd</v>
      </c>
      <c r="F31" s="25">
        <f>-SUMIF('1.1 FY2024'!$B:$B,Database!B31,'1.1 FY2024'!$F:$F)</f>
        <v>-204000</v>
      </c>
      <c r="G31" s="25">
        <f>-SUMIF('1.2 FY2025'!$B:$B,Database!B31,'1.2 FY2025'!$F:$F)</f>
        <v>0</v>
      </c>
      <c r="H31" s="25">
        <f>-SUMIF('1.3 FY2026'!$B:$B,Database!B31,'1.3 FY2026'!$F:$F)</f>
        <v>0</v>
      </c>
      <c r="I31" s="24" t="s">
        <v>219</v>
      </c>
      <c r="J31" s="24">
        <f>COUNTIF('P&amp;L Model'!$B$4:$B$24,Database!I31)</f>
        <v>1</v>
      </c>
    </row>
    <row r="32" spans="2:10" x14ac:dyDescent="0.3">
      <c r="B32" s="24" t="s">
        <v>75</v>
      </c>
      <c r="C32" s="24" t="str">
        <f>VLOOKUP(B32,'1.1 FY2024'!$B$4:$G$61,2,FALSE)</f>
        <v>Software&amp;IT</v>
      </c>
      <c r="D32" s="24">
        <f>VLOOKUP(B32,'1.1 FY2024'!$B$4:$G$61,3,FALSE)</f>
        <v>111111</v>
      </c>
      <c r="E32" s="24" t="str">
        <f>VLOOKUP(B32,'1.1 FY2024'!$B$4:$G$61,4,FALSE)</f>
        <v>External</v>
      </c>
      <c r="F32" s="25">
        <f>-SUMIF('1.1 FY2024'!$B:$B,Database!B32,'1.1 FY2024'!$F:$F)</f>
        <v>-138.41399999999999</v>
      </c>
      <c r="G32" s="25">
        <f>-SUMIF('1.2 FY2025'!$B:$B,Database!B32,'1.2 FY2025'!$F:$F)</f>
        <v>-5138.91</v>
      </c>
      <c r="H32" s="25">
        <f>-SUMIF('1.3 FY2026'!$B:$B,Database!B32,'1.3 FY2026'!$F:$F)</f>
        <v>-19198.66</v>
      </c>
      <c r="I32" s="24" t="s">
        <v>219</v>
      </c>
      <c r="J32" s="24">
        <f>COUNTIF('P&amp;L Model'!$B$4:$B$24,Database!I32)</f>
        <v>1</v>
      </c>
    </row>
    <row r="33" spans="2:10" x14ac:dyDescent="0.3">
      <c r="B33" s="24" t="s">
        <v>76</v>
      </c>
      <c r="C33" s="24" t="str">
        <f>VLOOKUP(B33,'1.1 FY2024'!$B$4:$G$61,2,FALSE)</f>
        <v>Leasings</v>
      </c>
      <c r="D33" s="24">
        <f>VLOOKUP(B33,'1.1 FY2024'!$B$4:$G$61,3,FALSE)</f>
        <v>111111</v>
      </c>
      <c r="E33" s="24" t="str">
        <f>VLOOKUP(B33,'1.1 FY2024'!$B$4:$G$61,4,FALSE)</f>
        <v>External</v>
      </c>
      <c r="F33" s="25">
        <f>-SUMIF('1.1 FY2024'!$B:$B,Database!B33,'1.1 FY2024'!$F:$F)</f>
        <v>-1127445.872</v>
      </c>
      <c r="G33" s="25">
        <f>-SUMIF('1.2 FY2025'!$B:$B,Database!B33,'1.2 FY2025'!$F:$F)</f>
        <v>-1055381.4750000001</v>
      </c>
      <c r="H33" s="25">
        <f>-SUMIF('1.3 FY2026'!$B:$B,Database!B33,'1.3 FY2026'!$F:$F)</f>
        <v>172933.44899999999</v>
      </c>
      <c r="I33" s="24" t="s">
        <v>222</v>
      </c>
      <c r="J33" s="24">
        <f>COUNTIF('P&amp;L Model'!$B$4:$B$24,Database!I33)</f>
        <v>1</v>
      </c>
    </row>
    <row r="34" spans="2:10" x14ac:dyDescent="0.3">
      <c r="B34" s="24" t="s">
        <v>78</v>
      </c>
      <c r="C34" s="24" t="str">
        <f>VLOOKUP(B34,'1.1 FY2024'!$B$4:$G$61,2,FALSE)</f>
        <v>Service expenses</v>
      </c>
      <c r="D34" s="24" t="str">
        <f>VLOOKUP(B34,'1.1 FY2024'!$B$4:$G$61,3,FALSE)</f>
        <v>43</v>
      </c>
      <c r="E34" s="24" t="str">
        <f>VLOOKUP(B34,'1.1 FY2024'!$B$4:$G$61,4,FALSE)</f>
        <v>Greeny France SL</v>
      </c>
      <c r="F34" s="25">
        <f>-SUMIF('1.1 FY2024'!$B:$B,Database!B34,'1.1 FY2024'!$F:$F)</f>
        <v>-133722</v>
      </c>
      <c r="G34" s="25">
        <f>-SUMIF('1.2 FY2025'!$B:$B,Database!B34,'1.2 FY2025'!$F:$F)</f>
        <v>0</v>
      </c>
      <c r="H34" s="25">
        <f>-SUMIF('1.3 FY2026'!$B:$B,Database!B34,'1.3 FY2026'!$F:$F)</f>
        <v>0</v>
      </c>
      <c r="I34" s="24" t="s">
        <v>223</v>
      </c>
      <c r="J34" s="24">
        <f>COUNTIF('P&amp;L Model'!$B$4:$B$24,Database!I34)</f>
        <v>1</v>
      </c>
    </row>
    <row r="35" spans="2:10" x14ac:dyDescent="0.3">
      <c r="B35" s="24" t="s">
        <v>82</v>
      </c>
      <c r="C35" s="24" t="str">
        <f>VLOOKUP(B35,'1.1 FY2024'!$B$4:$G$61,2,FALSE)</f>
        <v>Service expenses</v>
      </c>
      <c r="D35" s="24" t="str">
        <f>VLOOKUP(B35,'1.1 FY2024'!$B$4:$G$61,3,FALSE)</f>
        <v>2240</v>
      </c>
      <c r="E35" s="24" t="str">
        <f>VLOOKUP(B35,'1.1 FY2024'!$B$4:$G$61,4,FALSE)</f>
        <v>Greeny Germany GmbH</v>
      </c>
      <c r="F35" s="25">
        <f>-SUMIF('1.1 FY2024'!$B:$B,Database!B35,'1.1 FY2024'!$F:$F)</f>
        <v>-328061.886</v>
      </c>
      <c r="G35" s="25">
        <f>-SUMIF('1.2 FY2025'!$B:$B,Database!B35,'1.2 FY2025'!$F:$F)</f>
        <v>-430845.34499999997</v>
      </c>
      <c r="H35" s="25">
        <f>-SUMIF('1.3 FY2026'!$B:$B,Database!B35,'1.3 FY2026'!$F:$F)</f>
        <v>0</v>
      </c>
      <c r="I35" s="24" t="s">
        <v>223</v>
      </c>
      <c r="J35" s="24">
        <f>COUNTIF('P&amp;L Model'!$B$4:$B$24,Database!I35)</f>
        <v>1</v>
      </c>
    </row>
    <row r="36" spans="2:10" x14ac:dyDescent="0.3">
      <c r="B36" s="24" t="s">
        <v>85</v>
      </c>
      <c r="C36" s="24" t="str">
        <f>VLOOKUP(B36,'1.1 FY2024'!$B$4:$G$61,2,FALSE)</f>
        <v>Service expenses</v>
      </c>
      <c r="D36" s="24">
        <f>VLOOKUP(B36,'1.1 FY2024'!$B$4:$G$61,3,FALSE)</f>
        <v>111111</v>
      </c>
      <c r="E36" s="24" t="str">
        <f>VLOOKUP(B36,'1.1 FY2024'!$B$4:$G$61,4,FALSE)</f>
        <v>External</v>
      </c>
      <c r="F36" s="25">
        <f>-SUMIF('1.1 FY2024'!$B:$B,Database!B36,'1.1 FY2024'!$F:$F)</f>
        <v>-2081304.3219999997</v>
      </c>
      <c r="G36" s="25">
        <f>-SUMIF('1.2 FY2025'!$B:$B,Database!B36,'1.2 FY2025'!$F:$F)</f>
        <v>-1130021</v>
      </c>
      <c r="H36" s="25">
        <f>-SUMIF('1.3 FY2026'!$B:$B,Database!B36,'1.3 FY2026'!$F:$F)</f>
        <v>-1481408.47</v>
      </c>
      <c r="I36" s="24" t="s">
        <v>223</v>
      </c>
      <c r="J36" s="24">
        <f>COUNTIF('P&amp;L Model'!$B$4:$B$24,Database!I36)</f>
        <v>1</v>
      </c>
    </row>
    <row r="37" spans="2:10" x14ac:dyDescent="0.3">
      <c r="B37" s="24" t="s">
        <v>86</v>
      </c>
      <c r="C37" s="24" t="str">
        <f>VLOOKUP(B37,'1.1 FY2024'!$B$4:$G$61,2,FALSE)</f>
        <v>Charges and contributions</v>
      </c>
      <c r="D37" s="24">
        <f>VLOOKUP(B37,'1.1 FY2024'!$B$4:$G$61,3,FALSE)</f>
        <v>111111</v>
      </c>
      <c r="E37" s="24" t="str">
        <f>VLOOKUP(B37,'1.1 FY2024'!$B$4:$G$61,4,FALSE)</f>
        <v>External</v>
      </c>
      <c r="F37" s="25">
        <f>-SUMIF('1.1 FY2024'!$B:$B,Database!B37,'1.1 FY2024'!$F:$F)</f>
        <v>-33410.031999999999</v>
      </c>
      <c r="G37" s="25">
        <f>-SUMIF('1.2 FY2025'!$B:$B,Database!B37,'1.2 FY2025'!$F:$F)</f>
        <v>-7293.5450000000001</v>
      </c>
      <c r="H37" s="25">
        <f>-SUMIF('1.3 FY2026'!$B:$B,Database!B37,'1.3 FY2026'!$F:$F)</f>
        <v>-40048.799999999996</v>
      </c>
      <c r="I37" s="24" t="s">
        <v>219</v>
      </c>
      <c r="J37" s="24">
        <f>COUNTIF('P&amp;L Model'!$B$4:$B$24,Database!I37)</f>
        <v>1</v>
      </c>
    </row>
    <row r="38" spans="2:10" x14ac:dyDescent="0.3">
      <c r="B38" s="24" t="s">
        <v>88</v>
      </c>
      <c r="C38" s="24" t="str">
        <f>VLOOKUP(B38,'1.1 FY2024'!$B$4:$G$61,2,FALSE)</f>
        <v>Insurance expenses</v>
      </c>
      <c r="D38" s="24">
        <f>VLOOKUP(B38,'1.1 FY2024'!$B$4:$G$61,3,FALSE)</f>
        <v>111111</v>
      </c>
      <c r="E38" s="24" t="str">
        <f>VLOOKUP(B38,'1.1 FY2024'!$B$4:$G$61,4,FALSE)</f>
        <v>External</v>
      </c>
      <c r="F38" s="25">
        <f>-SUMIF('1.1 FY2024'!$B:$B,Database!B38,'1.1 FY2024'!$F:$F)</f>
        <v>-213090.85199999998</v>
      </c>
      <c r="G38" s="25">
        <f>-SUMIF('1.2 FY2025'!$B:$B,Database!B38,'1.2 FY2025'!$F:$F)</f>
        <v>-48468.665000000001</v>
      </c>
      <c r="H38" s="25">
        <f>-SUMIF('1.3 FY2026'!$B:$B,Database!B38,'1.3 FY2026'!$F:$F)</f>
        <v>-64039.82699999999</v>
      </c>
      <c r="I38" s="24" t="s">
        <v>219</v>
      </c>
      <c r="J38" s="24">
        <f>COUNTIF('P&amp;L Model'!$B$4:$B$24,Database!I38)</f>
        <v>1</v>
      </c>
    </row>
    <row r="39" spans="2:10" x14ac:dyDescent="0.3">
      <c r="B39" s="24" t="s">
        <v>90</v>
      </c>
      <c r="C39" s="24" t="str">
        <f>VLOOKUP(B39,'1.1 FY2024'!$B$4:$G$61,2,FALSE)</f>
        <v>Travel expenses</v>
      </c>
      <c r="D39" s="24">
        <f>VLOOKUP(B39,'1.1 FY2024'!$B$4:$G$61,3,FALSE)</f>
        <v>111111</v>
      </c>
      <c r="E39" s="24" t="str">
        <f>VLOOKUP(B39,'1.1 FY2024'!$B$4:$G$61,4,FALSE)</f>
        <v>External</v>
      </c>
      <c r="F39" s="25">
        <f>-SUMIF('1.1 FY2024'!$B:$B,Database!B39,'1.1 FY2024'!$F:$F)</f>
        <v>-1813525.004</v>
      </c>
      <c r="G39" s="25">
        <f>-SUMIF('1.2 FY2025'!$B:$B,Database!B39,'1.2 FY2025'!$F:$F)</f>
        <v>-2393259.19</v>
      </c>
      <c r="H39" s="25">
        <f>-SUMIF('1.3 FY2026'!$B:$B,Database!B39,'1.3 FY2026'!$F:$F)</f>
        <v>-2514431.8869999996</v>
      </c>
      <c r="I39" s="24" t="s">
        <v>224</v>
      </c>
      <c r="J39" s="24">
        <f>COUNTIF('P&amp;L Model'!$B$4:$B$24,Database!I39)</f>
        <v>1</v>
      </c>
    </row>
    <row r="40" spans="2:10" x14ac:dyDescent="0.3">
      <c r="B40" s="24" t="s">
        <v>92</v>
      </c>
      <c r="C40" s="24" t="str">
        <f>VLOOKUP(B40,'1.1 FY2024'!$B$4:$G$61,2,FALSE)</f>
        <v>Utility expenses</v>
      </c>
      <c r="D40" s="24">
        <f>VLOOKUP(B40,'1.1 FY2024'!$B$4:$G$61,3,FALSE)</f>
        <v>111111</v>
      </c>
      <c r="E40" s="24" t="str">
        <f>VLOOKUP(B40,'1.1 FY2024'!$B$4:$G$61,4,FALSE)</f>
        <v>External</v>
      </c>
      <c r="F40" s="25">
        <f>-SUMIF('1.1 FY2024'!$B:$B,Database!B40,'1.1 FY2024'!$F:$F)</f>
        <v>-5552.2</v>
      </c>
      <c r="G40" s="25">
        <f>-SUMIF('1.2 FY2025'!$B:$B,Database!B40,'1.2 FY2025'!$F:$F)</f>
        <v>-23069.654999999999</v>
      </c>
      <c r="H40" s="25">
        <f>-SUMIF('1.3 FY2026'!$B:$B,Database!B40,'1.3 FY2026'!$F:$F)</f>
        <v>-4194.2999999999993</v>
      </c>
      <c r="I40" s="24" t="s">
        <v>219</v>
      </c>
      <c r="J40" s="24">
        <f>COUNTIF('P&amp;L Model'!$B$4:$B$24,Database!I40)</f>
        <v>1</v>
      </c>
    </row>
    <row r="41" spans="2:10" x14ac:dyDescent="0.3">
      <c r="B41" s="24" t="s">
        <v>94</v>
      </c>
      <c r="C41" s="24" t="str">
        <f>VLOOKUP(B41,'1.1 FY2024'!$B$4:$G$61,2,FALSE)</f>
        <v>Legal expenses</v>
      </c>
      <c r="D41" s="24">
        <f>VLOOKUP(B41,'1.1 FY2024'!$B$4:$G$61,3,FALSE)</f>
        <v>111111</v>
      </c>
      <c r="E41" s="24" t="str">
        <f>VLOOKUP(B41,'1.1 FY2024'!$B$4:$G$61,4,FALSE)</f>
        <v>External</v>
      </c>
      <c r="F41" s="25">
        <f>-SUMIF('1.1 FY2024'!$B:$B,Database!B41,'1.1 FY2024'!$F:$F)</f>
        <v>-43868.975999999995</v>
      </c>
      <c r="G41" s="25">
        <f>-SUMIF('1.2 FY2025'!$B:$B,Database!B41,'1.2 FY2025'!$F:$F)</f>
        <v>-208366.935</v>
      </c>
      <c r="H41" s="25">
        <f>-SUMIF('1.3 FY2026'!$B:$B,Database!B41,'1.3 FY2026'!$F:$F)</f>
        <v>-106525.708</v>
      </c>
      <c r="I41" s="24" t="s">
        <v>219</v>
      </c>
      <c r="J41" s="24">
        <f>COUNTIF('P&amp;L Model'!$B$4:$B$24,Database!I41)</f>
        <v>1</v>
      </c>
    </row>
    <row r="42" spans="2:10" x14ac:dyDescent="0.3">
      <c r="B42" s="24" t="s">
        <v>96</v>
      </c>
      <c r="C42" s="24" t="str">
        <f>VLOOKUP(B42,'1.1 FY2024'!$B$4:$G$61,2,FALSE)</f>
        <v>Misc costs</v>
      </c>
      <c r="D42" s="24">
        <f>VLOOKUP(B42,'1.1 FY2024'!$B$4:$G$61,3,FALSE)</f>
        <v>111101</v>
      </c>
      <c r="E42" s="24" t="str">
        <f>VLOOKUP(B42,'1.1 FY2024'!$B$4:$G$61,4,FALSE)</f>
        <v>Not assigned</v>
      </c>
      <c r="F42" s="25">
        <f>-SUMIF('1.1 FY2024'!$B:$B,Database!B42,'1.1 FY2024'!$F:$F)</f>
        <v>-10934.671999999999</v>
      </c>
      <c r="G42" s="25">
        <f>-SUMIF('1.2 FY2025'!$B:$B,Database!B42,'1.2 FY2025'!$F:$F)</f>
        <v>-20323.309999999998</v>
      </c>
      <c r="H42" s="25">
        <f>-SUMIF('1.3 FY2026'!$B:$B,Database!B42,'1.3 FY2026'!$F:$F)</f>
        <v>-109811.284</v>
      </c>
      <c r="I42" s="24" t="s">
        <v>219</v>
      </c>
      <c r="J42" s="24">
        <f>COUNTIF('P&amp;L Model'!$B$4:$B$24,Database!I42)</f>
        <v>1</v>
      </c>
    </row>
    <row r="43" spans="2:10" x14ac:dyDescent="0.3">
      <c r="B43" s="24" t="s">
        <v>98</v>
      </c>
      <c r="C43" s="24" t="str">
        <f>VLOOKUP(B43,'1.1 FY2024'!$B$4:$G$61,2,FALSE)</f>
        <v>Consulting fees</v>
      </c>
      <c r="D43" s="24">
        <f>VLOOKUP(B43,'1.1 FY2024'!$B$4:$G$61,3,FALSE)</f>
        <v>111111</v>
      </c>
      <c r="E43" s="24" t="str">
        <f>VLOOKUP(B43,'1.1 FY2024'!$B$4:$G$61,4,FALSE)</f>
        <v>External</v>
      </c>
      <c r="F43" s="25">
        <f>-SUMIF('1.1 FY2024'!$B:$B,Database!B43,'1.1 FY2024'!$F:$F)</f>
        <v>-20400</v>
      </c>
      <c r="G43" s="25">
        <f>-SUMIF('1.2 FY2025'!$B:$B,Database!B43,'1.2 FY2025'!$F:$F)</f>
        <v>-169489</v>
      </c>
      <c r="H43" s="25">
        <f>-SUMIF('1.3 FY2026'!$B:$B,Database!B43,'1.3 FY2026'!$F:$F)</f>
        <v>-61111.483999999997</v>
      </c>
      <c r="I43" s="24" t="s">
        <v>219</v>
      </c>
      <c r="J43" s="24">
        <f>COUNTIF('P&amp;L Model'!$B$4:$B$24,Database!I43)</f>
        <v>1</v>
      </c>
    </row>
    <row r="44" spans="2:10" x14ac:dyDescent="0.3">
      <c r="B44" s="24" t="s">
        <v>100</v>
      </c>
      <c r="C44" s="24" t="str">
        <f>VLOOKUP(B44,'1.1 FY2024'!$B$4:$G$61,2,FALSE)</f>
        <v>Misc extraordinary expenses</v>
      </c>
      <c r="D44" s="24">
        <f>VLOOKUP(B44,'1.1 FY2024'!$B$4:$G$61,3,FALSE)</f>
        <v>105</v>
      </c>
      <c r="E44" s="24" t="str">
        <f>VLOOKUP(B44,'1.1 FY2024'!$B$4:$G$61,4,FALSE)</f>
        <v>Generco Healthcare Ltd</v>
      </c>
      <c r="F44" s="25">
        <f>-SUMIF('1.1 FY2024'!$B:$B,Database!B44,'1.1 FY2024'!$F:$F)</f>
        <v>0</v>
      </c>
      <c r="G44" s="25">
        <f>-SUMIF('1.2 FY2025'!$B:$B,Database!B44,'1.2 FY2025'!$F:$F)</f>
        <v>0</v>
      </c>
      <c r="H44" s="25">
        <f>-SUMIF('1.3 FY2026'!$B:$B,Database!B44,'1.3 FY2026'!$F:$F)</f>
        <v>-1684415.2999999998</v>
      </c>
      <c r="I44" s="24" t="s">
        <v>219</v>
      </c>
      <c r="J44" s="24">
        <f>COUNTIF('P&amp;L Model'!$B$4:$B$24,Database!I44)</f>
        <v>1</v>
      </c>
    </row>
    <row r="45" spans="2:10" x14ac:dyDescent="0.3">
      <c r="B45" s="24" t="s">
        <v>103</v>
      </c>
      <c r="C45" s="24" t="str">
        <f>VLOOKUP(B45,'1.1 FY2024'!$B$4:$G$61,2,FALSE)</f>
        <v>Misc extraordinary expenses</v>
      </c>
      <c r="D45" s="24">
        <f>VLOOKUP(B45,'1.1 FY2024'!$B$4:$G$61,3,FALSE)</f>
        <v>111111</v>
      </c>
      <c r="E45" s="24" t="str">
        <f>VLOOKUP(B45,'1.1 FY2024'!$B$4:$G$61,4,FALSE)</f>
        <v>External</v>
      </c>
      <c r="F45" s="25">
        <f>-SUMIF('1.1 FY2024'!$B:$B,Database!B45,'1.1 FY2024'!$F:$F)</f>
        <v>-563918.152</v>
      </c>
      <c r="G45" s="25">
        <f>-SUMIF('1.2 FY2025'!$B:$B,Database!B45,'1.2 FY2025'!$F:$F)</f>
        <v>-638869.13</v>
      </c>
      <c r="H45" s="25">
        <f>-SUMIF('1.3 FY2026'!$B:$B,Database!B45,'1.3 FY2026'!$F:$F)</f>
        <v>-575626.2649999999</v>
      </c>
      <c r="I45" s="24" t="s">
        <v>219</v>
      </c>
      <c r="J45" s="24">
        <f>COUNTIF('P&amp;L Model'!$B$4:$B$24,Database!I45)</f>
        <v>1</v>
      </c>
    </row>
    <row r="46" spans="2:10" x14ac:dyDescent="0.3">
      <c r="B46" s="24" t="s">
        <v>104</v>
      </c>
      <c r="C46" s="24" t="str">
        <f>VLOOKUP(B46,'1.1 FY2024'!$B$4:$G$61,2,FALSE)</f>
        <v>Difference from eliminations</v>
      </c>
      <c r="D46" s="24">
        <f>VLOOKUP(B46,'1.1 FY2024'!$B$4:$G$61,3,FALSE)</f>
        <v>1009</v>
      </c>
      <c r="E46" s="24" t="str">
        <f>VLOOKUP(B46,'1.1 FY2024'!$B$4:$G$61,4,FALSE)</f>
        <v>Green Ventures Ltd</v>
      </c>
      <c r="F46" s="25">
        <f>-SUMIF('1.1 FY2024'!$B:$B,Database!B46,'1.1 FY2024'!$F:$F)</f>
        <v>0</v>
      </c>
      <c r="G46" s="25">
        <f>-SUMIF('1.2 FY2025'!$B:$B,Database!B46,'1.2 FY2025'!$F:$F)</f>
        <v>0</v>
      </c>
      <c r="H46" s="25">
        <f>-SUMIF('1.3 FY2026'!$B:$B,Database!B46,'1.3 FY2026'!$F:$F)</f>
        <v>0</v>
      </c>
      <c r="I46" s="24"/>
      <c r="J46" s="24">
        <f>COUNTIF('P&amp;L Model'!$B$4:$B$24,Database!I46)</f>
        <v>0</v>
      </c>
    </row>
    <row r="47" spans="2:10" x14ac:dyDescent="0.3">
      <c r="B47" s="24" t="s">
        <v>106</v>
      </c>
      <c r="C47" s="24" t="str">
        <f>VLOOKUP(B47,'1.1 FY2024'!$B$4:$G$61,2,FALSE)</f>
        <v>Difference from eliminations</v>
      </c>
      <c r="D47" s="24">
        <f>VLOOKUP(B47,'1.1 FY2024'!$B$4:$G$61,3,FALSE)</f>
        <v>1007</v>
      </c>
      <c r="E47" s="24" t="str">
        <f>VLOOKUP(B47,'1.1 FY2024'!$B$4:$G$61,4,FALSE)</f>
        <v>Generco Sunshine JSC</v>
      </c>
      <c r="F47" s="25">
        <f>-SUMIF('1.1 FY2024'!$B:$B,Database!B47,'1.1 FY2024'!$F:$F)</f>
        <v>0</v>
      </c>
      <c r="G47" s="25">
        <f>-SUMIF('1.2 FY2025'!$B:$B,Database!B47,'1.2 FY2025'!$F:$F)</f>
        <v>0</v>
      </c>
      <c r="H47" s="25">
        <f>-SUMIF('1.3 FY2026'!$B:$B,Database!B47,'1.3 FY2026'!$F:$F)</f>
        <v>0</v>
      </c>
      <c r="I47" s="24"/>
      <c r="J47" s="24">
        <f>COUNTIF('P&amp;L Model'!$B$4:$B$24,Database!I47)</f>
        <v>0</v>
      </c>
    </row>
    <row r="48" spans="2:10" x14ac:dyDescent="0.3">
      <c r="B48" s="24" t="s">
        <v>107</v>
      </c>
      <c r="C48" s="24" t="str">
        <f>VLOOKUP(B48,'1.1 FY2024'!$B$4:$G$61,2,FALSE)</f>
        <v>Difference from eliminations</v>
      </c>
      <c r="D48" s="24">
        <f>VLOOKUP(B48,'1.1 FY2024'!$B$4:$G$61,3,FALSE)</f>
        <v>1008</v>
      </c>
      <c r="E48" s="24" t="str">
        <f>VLOOKUP(B48,'1.1 FY2024'!$B$4:$G$61,4,FALSE)</f>
        <v>Greenco Ltd</v>
      </c>
      <c r="F48" s="25">
        <f>-SUMIF('1.1 FY2024'!$B:$B,Database!B48,'1.1 FY2024'!$F:$F)</f>
        <v>0</v>
      </c>
      <c r="G48" s="25">
        <f>-SUMIF('1.2 FY2025'!$B:$B,Database!B48,'1.2 FY2025'!$F:$F)</f>
        <v>0</v>
      </c>
      <c r="H48" s="25">
        <f>-SUMIF('1.3 FY2026'!$B:$B,Database!B48,'1.3 FY2026'!$F:$F)</f>
        <v>0</v>
      </c>
      <c r="I48" s="24"/>
      <c r="J48" s="24">
        <f>COUNTIF('P&amp;L Model'!$B$4:$B$24,Database!I48)</f>
        <v>0</v>
      </c>
    </row>
    <row r="49" spans="2:10" x14ac:dyDescent="0.3">
      <c r="B49" s="24" t="s">
        <v>108</v>
      </c>
      <c r="C49" s="24" t="str">
        <f>VLOOKUP(B49,'1.1 FY2024'!$B$4:$G$61,2,FALSE)</f>
        <v>Interest income</v>
      </c>
      <c r="D49" s="24">
        <f>VLOOKUP(B49,'1.1 FY2024'!$B$4:$G$61,3,FALSE)</f>
        <v>1009</v>
      </c>
      <c r="E49" s="24" t="str">
        <f>VLOOKUP(B49,'1.1 FY2024'!$B$4:$G$61,4,FALSE)</f>
        <v>Green Ventures Ltd</v>
      </c>
      <c r="F49" s="25">
        <f>-SUMIF('1.1 FY2024'!$B:$B,Database!B49,'1.1 FY2024'!$F:$F)</f>
        <v>0</v>
      </c>
      <c r="G49" s="25">
        <f>-SUMIF('1.2 FY2025'!$B:$B,Database!B49,'1.2 FY2025'!$F:$F)</f>
        <v>0</v>
      </c>
      <c r="H49" s="25">
        <f>-SUMIF('1.3 FY2026'!$B:$B,Database!B49,'1.3 FY2026'!$F:$F)</f>
        <v>0</v>
      </c>
      <c r="I49" s="24" t="s">
        <v>225</v>
      </c>
      <c r="J49" s="24">
        <f>COUNTIF('P&amp;L Model'!$B$4:$B$24,Database!I49)</f>
        <v>1</v>
      </c>
    </row>
    <row r="50" spans="2:10" x14ac:dyDescent="0.3">
      <c r="B50" s="24" t="s">
        <v>110</v>
      </c>
      <c r="C50" s="24" t="str">
        <f>VLOOKUP(B50,'1.1 FY2024'!$B$4:$G$61,2,FALSE)</f>
        <v>Interest income</v>
      </c>
      <c r="D50" s="24">
        <f>VLOOKUP(B50,'1.1 FY2024'!$B$4:$G$61,3,FALSE)</f>
        <v>1007</v>
      </c>
      <c r="E50" s="24" t="str">
        <f>VLOOKUP(B50,'1.1 FY2024'!$B$4:$G$61,4,FALSE)</f>
        <v>Generco Sunshine JSC</v>
      </c>
      <c r="F50" s="25">
        <f>-SUMIF('1.1 FY2024'!$B:$B,Database!B50,'1.1 FY2024'!$F:$F)</f>
        <v>0</v>
      </c>
      <c r="G50" s="25">
        <f>-SUMIF('1.2 FY2025'!$B:$B,Database!B50,'1.2 FY2025'!$F:$F)</f>
        <v>0</v>
      </c>
      <c r="H50" s="25">
        <f>-SUMIF('1.3 FY2026'!$B:$B,Database!B50,'1.3 FY2026'!$F:$F)</f>
        <v>0</v>
      </c>
      <c r="I50" s="24" t="s">
        <v>225</v>
      </c>
      <c r="J50" s="24">
        <f>COUNTIF('P&amp;L Model'!$B$4:$B$24,Database!I50)</f>
        <v>1</v>
      </c>
    </row>
    <row r="51" spans="2:10" x14ac:dyDescent="0.3">
      <c r="B51" s="24" t="s">
        <v>111</v>
      </c>
      <c r="C51" s="24" t="str">
        <f>VLOOKUP(B51,'1.1 FY2024'!$B$4:$G$61,2,FALSE)</f>
        <v>Interest income</v>
      </c>
      <c r="D51" s="24">
        <f>VLOOKUP(B51,'1.1 FY2024'!$B$4:$G$61,3,FALSE)</f>
        <v>1008</v>
      </c>
      <c r="E51" s="24" t="str">
        <f>VLOOKUP(B51,'1.1 FY2024'!$B$4:$G$61,4,FALSE)</f>
        <v>Greenco Ltd</v>
      </c>
      <c r="F51" s="25">
        <f>-SUMIF('1.1 FY2024'!$B:$B,Database!B51,'1.1 FY2024'!$F:$F)</f>
        <v>0</v>
      </c>
      <c r="G51" s="25">
        <f>-SUMIF('1.2 FY2025'!$B:$B,Database!B51,'1.2 FY2025'!$F:$F)</f>
        <v>0</v>
      </c>
      <c r="H51" s="25">
        <f>-SUMIF('1.3 FY2026'!$B:$B,Database!B51,'1.3 FY2026'!$F:$F)</f>
        <v>0</v>
      </c>
      <c r="I51" s="24" t="s">
        <v>225</v>
      </c>
      <c r="J51" s="24">
        <f>COUNTIF('P&amp;L Model'!$B$4:$B$24,Database!I51)</f>
        <v>1</v>
      </c>
    </row>
    <row r="52" spans="2:10" x14ac:dyDescent="0.3">
      <c r="B52" s="24" t="s">
        <v>112</v>
      </c>
      <c r="C52" s="24" t="str">
        <f>VLOOKUP(B52,'1.1 FY2024'!$B$4:$G$61,2,FALSE)</f>
        <v>Interest income</v>
      </c>
      <c r="D52" s="24">
        <f>VLOOKUP(B52,'1.1 FY2024'!$B$4:$G$61,3,FALSE)</f>
        <v>1240</v>
      </c>
      <c r="E52" s="24" t="str">
        <f>VLOOKUP(B52,'1.1 FY2024'!$B$4:$G$61,4,FALSE)</f>
        <v xml:space="preserve">Generco UK </v>
      </c>
      <c r="F52" s="25">
        <f>-SUMIF('1.1 FY2024'!$B:$B,Database!B52,'1.1 FY2024'!$F:$F)</f>
        <v>35810.228000000003</v>
      </c>
      <c r="G52" s="25">
        <f>-SUMIF('1.2 FY2025'!$B:$B,Database!B52,'1.2 FY2025'!$F:$F)</f>
        <v>34224.959999999999</v>
      </c>
      <c r="H52" s="25">
        <f>-SUMIF('1.3 FY2026'!$B:$B,Database!B52,'1.3 FY2026'!$F:$F)</f>
        <v>0</v>
      </c>
      <c r="I52" s="24" t="s">
        <v>225</v>
      </c>
      <c r="J52" s="24">
        <f>COUNTIF('P&amp;L Model'!$B$4:$B$24,Database!I52)</f>
        <v>1</v>
      </c>
    </row>
    <row r="53" spans="2:10" x14ac:dyDescent="0.3">
      <c r="B53" s="24" t="s">
        <v>113</v>
      </c>
      <c r="C53" s="24" t="str">
        <f>VLOOKUP(B53,'1.1 FY2024'!$B$4:$G$61,2,FALSE)</f>
        <v>Interest income</v>
      </c>
      <c r="D53" s="24">
        <f>VLOOKUP(B53,'1.1 FY2024'!$B$4:$G$61,3,FALSE)</f>
        <v>111111</v>
      </c>
      <c r="E53" s="24" t="str">
        <f>VLOOKUP(B53,'1.1 FY2024'!$B$4:$G$61,4,FALSE)</f>
        <v>External</v>
      </c>
      <c r="F53" s="25">
        <f>-SUMIF('1.1 FY2024'!$B:$B,Database!B53,'1.1 FY2024'!$F:$F)</f>
        <v>51927.417999999998</v>
      </c>
      <c r="G53" s="25">
        <f>-SUMIF('1.2 FY2025'!$B:$B,Database!B53,'1.2 FY2025'!$F:$F)</f>
        <v>2204.7199999999998</v>
      </c>
      <c r="H53" s="25">
        <f>-SUMIF('1.3 FY2026'!$B:$B,Database!B53,'1.3 FY2026'!$F:$F)</f>
        <v>73809.511999999988</v>
      </c>
      <c r="I53" s="24" t="s">
        <v>225</v>
      </c>
      <c r="J53" s="24">
        <f>COUNTIF('P&amp;L Model'!$B$4:$B$24,Database!I53)</f>
        <v>1</v>
      </c>
    </row>
    <row r="54" spans="2:10" x14ac:dyDescent="0.3">
      <c r="B54" s="24" t="s">
        <v>114</v>
      </c>
      <c r="C54" s="24" t="str">
        <f>VLOOKUP(B54,'1.1 FY2024'!$B$4:$G$61,2,FALSE)</f>
        <v>Capitalized interest</v>
      </c>
      <c r="D54" s="24">
        <f>VLOOKUP(B54,'1.1 FY2024'!$B$4:$G$61,3,FALSE)</f>
        <v>111101</v>
      </c>
      <c r="E54" s="24" t="str">
        <f>VLOOKUP(B54,'1.1 FY2024'!$B$4:$G$61,4,FALSE)</f>
        <v>Not assigned</v>
      </c>
      <c r="F54" s="25">
        <f>-SUMIF('1.1 FY2024'!$B:$B,Database!B54,'1.1 FY2024'!$F:$F)</f>
        <v>862270.63399999996</v>
      </c>
      <c r="G54" s="25">
        <f>-SUMIF('1.2 FY2025'!$B:$B,Database!B54,'1.2 FY2025'!$F:$F)</f>
        <v>0</v>
      </c>
      <c r="H54" s="25">
        <f>-SUMIF('1.3 FY2026'!$B:$B,Database!B54,'1.3 FY2026'!$F:$F)</f>
        <v>0</v>
      </c>
      <c r="I54" s="24" t="s">
        <v>26</v>
      </c>
      <c r="J54" s="24">
        <f>COUNTIF('P&amp;L Model'!$B$4:$B$24,Database!I54)</f>
        <v>1</v>
      </c>
    </row>
    <row r="55" spans="2:10" x14ac:dyDescent="0.3">
      <c r="B55" s="24" t="s">
        <v>116</v>
      </c>
      <c r="C55" s="24" t="str">
        <f>VLOOKUP(B55,'1.1 FY2024'!$B$4:$G$61,2,FALSE)</f>
        <v>Non-recurring costs</v>
      </c>
      <c r="D55" s="24">
        <f>VLOOKUP(B55,'1.1 FY2024'!$B$4:$G$61,3,FALSE)</f>
        <v>111101</v>
      </c>
      <c r="E55" s="24" t="str">
        <f>VLOOKUP(B55,'1.1 FY2024'!$B$4:$G$61,4,FALSE)</f>
        <v>Not assigned</v>
      </c>
      <c r="F55" s="25">
        <f>-SUMIF('1.1 FY2024'!$B:$B,Database!B55,'1.1 FY2024'!$F:$F)</f>
        <v>-22763</v>
      </c>
      <c r="G55" s="25">
        <f>-SUMIF('1.2 FY2025'!$B:$B,Database!B55,'1.2 FY2025'!$F:$F)</f>
        <v>-80617.179999999993</v>
      </c>
      <c r="H55" s="25">
        <f>-SUMIF('1.3 FY2026'!$B:$B,Database!B55,'1.3 FY2026'!$F:$F)</f>
        <v>-7173.195999999999</v>
      </c>
      <c r="I55" s="24" t="s">
        <v>226</v>
      </c>
      <c r="J55" s="24">
        <f>COUNTIF('P&amp;L Model'!$B$4:$B$24,Database!I55)</f>
        <v>1</v>
      </c>
    </row>
    <row r="56" spans="2:10" x14ac:dyDescent="0.3">
      <c r="B56" s="24" t="s">
        <v>118</v>
      </c>
      <c r="C56" s="24" t="str">
        <f>VLOOKUP(B56,'1.1 FY2024'!$B$4:$G$61,2,FALSE)</f>
        <v>Interest expenses</v>
      </c>
      <c r="D56" s="24">
        <f>VLOOKUP(B56,'1.1 FY2024'!$B$4:$G$61,3,FALSE)</f>
        <v>88</v>
      </c>
      <c r="E56" s="24" t="str">
        <f>VLOOKUP(B56,'1.1 FY2024'!$B$4:$G$61,4,FALSE)</f>
        <v>Generco Ltd</v>
      </c>
      <c r="F56" s="25">
        <f>-SUMIF('1.1 FY2024'!$B:$B,Database!B56,'1.1 FY2024'!$F:$F)</f>
        <v>-2930430.0120000001</v>
      </c>
      <c r="G56" s="25">
        <f>-SUMIF('1.2 FY2025'!$B:$B,Database!B56,'1.2 FY2025'!$F:$F)</f>
        <v>-2752704.22</v>
      </c>
      <c r="H56" s="25">
        <f>-SUMIF('1.3 FY2026'!$B:$B,Database!B56,'1.3 FY2026'!$F:$F)</f>
        <v>-2324465.8859999999</v>
      </c>
      <c r="I56" s="24" t="s">
        <v>225</v>
      </c>
      <c r="J56" s="24">
        <f>COUNTIF('P&amp;L Model'!$B$4:$B$24,Database!I56)</f>
        <v>1</v>
      </c>
    </row>
    <row r="57" spans="2:10" x14ac:dyDescent="0.3">
      <c r="B57" s="24" t="s">
        <v>120</v>
      </c>
      <c r="C57" s="24" t="str">
        <f>VLOOKUP(B57,'1.1 FY2024'!$B$4:$G$61,2,FALSE)</f>
        <v>Current taxes</v>
      </c>
      <c r="D57" s="24">
        <f>VLOOKUP(B57,'1.1 FY2024'!$B$4:$G$61,3,FALSE)</f>
        <v>111101</v>
      </c>
      <c r="E57" s="24" t="str">
        <f>VLOOKUP(B57,'1.1 FY2024'!$B$4:$G$61,4,FALSE)</f>
        <v>Not assigned</v>
      </c>
      <c r="F57" s="25">
        <f>-SUMIF('1.1 FY2024'!$B:$B,Database!B57,'1.1 FY2024'!$F:$F)</f>
        <v>49378.641999999993</v>
      </c>
      <c r="G57" s="25">
        <f>-SUMIF('1.2 FY2025'!$B:$B,Database!B57,'1.2 FY2025'!$F:$F)</f>
        <v>-496748.70000000007</v>
      </c>
      <c r="H57" s="25">
        <f>-SUMIF('1.3 FY2026'!$B:$B,Database!B57,'1.3 FY2026'!$F:$F)</f>
        <v>-2558.1950000000002</v>
      </c>
      <c r="I57" s="24" t="s">
        <v>227</v>
      </c>
      <c r="J57" s="24">
        <f>COUNTIF('P&amp;L Model'!$B$4:$B$24,Database!I57)</f>
        <v>1</v>
      </c>
    </row>
    <row r="58" spans="2:10" x14ac:dyDescent="0.3">
      <c r="B58" s="24" t="s">
        <v>122</v>
      </c>
      <c r="C58" s="24" t="str">
        <f>VLOOKUP(B58,'1.1 FY2024'!$B$4:$G$61,2,FALSE)</f>
        <v>Regional taxes</v>
      </c>
      <c r="D58" s="24">
        <f>VLOOKUP(B58,'1.1 FY2024'!$B$4:$G$61,3,FALSE)</f>
        <v>111101</v>
      </c>
      <c r="E58" s="24" t="str">
        <f>VLOOKUP(B58,'1.1 FY2024'!$B$4:$G$61,4,FALSE)</f>
        <v>Not assigned</v>
      </c>
      <c r="F58" s="25">
        <f>-SUMIF('1.1 FY2024'!$B:$B,Database!B58,'1.1 FY2024'!$F:$F)</f>
        <v>-516250.67</v>
      </c>
      <c r="G58" s="25">
        <f>-SUMIF('1.2 FY2025'!$B:$B,Database!B58,'1.2 FY2025'!$F:$F)</f>
        <v>-480872.96000000002</v>
      </c>
      <c r="H58" s="25">
        <f>-SUMIF('1.3 FY2026'!$B:$B,Database!B58,'1.3 FY2026'!$F:$F)</f>
        <v>-522710.353</v>
      </c>
      <c r="I58" s="24" t="s">
        <v>227</v>
      </c>
      <c r="J58" s="24">
        <f>COUNTIF('P&amp;L Model'!$B$4:$B$24,Database!I58)</f>
        <v>1</v>
      </c>
    </row>
    <row r="59" spans="2:10" x14ac:dyDescent="0.3">
      <c r="B59" s="24" t="s">
        <v>124</v>
      </c>
      <c r="C59" s="24" t="str">
        <f>VLOOKUP(B59,'1.1 FY2024'!$B$4:$G$61,2,FALSE)</f>
        <v>Deferred taxes</v>
      </c>
      <c r="D59" s="24">
        <f>VLOOKUP(B59,'1.1 FY2024'!$B$4:$G$61,3,FALSE)</f>
        <v>111101</v>
      </c>
      <c r="E59" s="24" t="str">
        <f>VLOOKUP(B59,'1.1 FY2024'!$B$4:$G$61,4,FALSE)</f>
        <v>Not assigned</v>
      </c>
      <c r="F59" s="25">
        <f>-SUMIF('1.1 FY2024'!$B:$B,Database!B59,'1.1 FY2024'!$F:$F)</f>
        <v>-21593.093999999997</v>
      </c>
      <c r="G59" s="25">
        <f>-SUMIF('1.2 FY2025'!$B:$B,Database!B59,'1.2 FY2025'!$F:$F)</f>
        <v>-6570.3050000000003</v>
      </c>
      <c r="H59" s="25">
        <f>-SUMIF('1.3 FY2026'!$B:$B,Database!B59,'1.3 FY2026'!$F:$F)</f>
        <v>160303.52199999997</v>
      </c>
      <c r="I59" s="24" t="s">
        <v>227</v>
      </c>
      <c r="J59" s="24">
        <f>COUNTIF('P&amp;L Model'!$B$4:$B$24,Database!I59)</f>
        <v>1</v>
      </c>
    </row>
    <row r="60" spans="2:10" x14ac:dyDescent="0.3">
      <c r="B60" s="24" t="s">
        <v>126</v>
      </c>
      <c r="C60" s="24" t="str">
        <f>VLOOKUP(B60,'1.1 FY2024'!$B$4:$G$61,2,FALSE)</f>
        <v>Net income/(loss)</v>
      </c>
      <c r="D60" s="24">
        <f>VLOOKUP(B60,'1.1 FY2024'!$B$4:$G$61,3,FALSE)</f>
        <v>111101</v>
      </c>
      <c r="E60" s="24" t="str">
        <f>VLOOKUP(B60,'1.1 FY2024'!$B$4:$G$61,4,FALSE)</f>
        <v>Not assigned</v>
      </c>
      <c r="F60" s="25">
        <f>-SUMIF('1.1 FY2024'!$B:$B,Database!B60,'1.1 FY2024'!$F:$F)</f>
        <v>2904117.9939999986</v>
      </c>
      <c r="G60" s="25">
        <f>-SUMIF('1.2 FY2025'!$B:$B,Database!B60,'1.2 FY2025'!$F:$F)</f>
        <v>0</v>
      </c>
      <c r="H60" s="25">
        <f>-SUMIF('1.3 FY2026'!$B:$B,Database!B60,'1.3 FY2026'!$F:$F)</f>
        <v>0</v>
      </c>
      <c r="I60" s="24" t="s">
        <v>228</v>
      </c>
      <c r="J60" s="24">
        <f>COUNTIF('P&amp;L Model'!$B$4:$B$24,Database!I60)</f>
        <v>1</v>
      </c>
    </row>
    <row r="61" spans="2:10" x14ac:dyDescent="0.3">
      <c r="B61" s="24" t="s">
        <v>129</v>
      </c>
      <c r="C61" s="24" t="s">
        <v>246</v>
      </c>
      <c r="D61" s="24" t="s">
        <v>246</v>
      </c>
      <c r="E61" s="24" t="s">
        <v>246</v>
      </c>
      <c r="F61" s="25">
        <f>-SUMIF('1.1 FY2024'!$B:$B,Database!B61,'1.1 FY2024'!$F:$F)</f>
        <v>0</v>
      </c>
      <c r="G61" s="25">
        <f>-SUMIF('1.2 FY2025'!$B:$B,Database!B61,'1.2 FY2025'!$F:$F)</f>
        <v>355396.61499999999</v>
      </c>
      <c r="H61" s="25">
        <f>-SUMIF('1.3 FY2026'!$B:$B,Database!B61,'1.3 FY2026'!$F:$F)</f>
        <v>616462.01899999997</v>
      </c>
      <c r="I61" s="24" t="s">
        <v>229</v>
      </c>
      <c r="J61" s="24">
        <f>COUNTIF('P&amp;L Model'!$B$4:$B$24,Database!I61)</f>
        <v>1</v>
      </c>
    </row>
    <row r="62" spans="2:10" x14ac:dyDescent="0.3">
      <c r="B62" s="24" t="s">
        <v>130</v>
      </c>
      <c r="C62" s="24" t="s">
        <v>246</v>
      </c>
      <c r="D62" s="24" t="s">
        <v>246</v>
      </c>
      <c r="E62" s="24" t="s">
        <v>246</v>
      </c>
      <c r="F62" s="25">
        <f>-SUMIF('1.1 FY2024'!$B:$B,Database!B62,'1.1 FY2024'!$F:$F)</f>
        <v>0</v>
      </c>
      <c r="G62" s="25">
        <f>-SUMIF('1.2 FY2025'!$B:$B,Database!B62,'1.2 FY2025'!$F:$F)</f>
        <v>420017.14999999997</v>
      </c>
      <c r="H62" s="25">
        <f>-SUMIF('1.3 FY2026'!$B:$B,Database!B62,'1.3 FY2026'!$F:$F)</f>
        <v>0</v>
      </c>
      <c r="I62" s="24" t="s">
        <v>26</v>
      </c>
      <c r="J62" s="24">
        <f>COUNTIF('P&amp;L Model'!$B$4:$B$24,Database!I62)</f>
        <v>1</v>
      </c>
    </row>
    <row r="63" spans="2:10" x14ac:dyDescent="0.3">
      <c r="B63" s="24" t="s">
        <v>133</v>
      </c>
      <c r="C63" s="24" t="s">
        <v>246</v>
      </c>
      <c r="D63" s="24" t="s">
        <v>246</v>
      </c>
      <c r="E63" s="24" t="s">
        <v>246</v>
      </c>
      <c r="F63" s="25">
        <f>-SUMIF('1.1 FY2024'!$B:$B,Database!B63,'1.1 FY2024'!$F:$F)</f>
        <v>0</v>
      </c>
      <c r="G63" s="25">
        <f>-SUMIF('1.2 FY2025'!$B:$B,Database!B63,'1.2 FY2025'!$F:$F)</f>
        <v>-14589.33</v>
      </c>
      <c r="H63" s="25">
        <f>-SUMIF('1.3 FY2026'!$B:$B,Database!B63,'1.3 FY2026'!$F:$F)</f>
        <v>-20504.509999999998</v>
      </c>
      <c r="I63" s="24" t="s">
        <v>219</v>
      </c>
      <c r="J63" s="24">
        <f>COUNTIF('P&amp;L Model'!$B$4:$B$24,Database!I63)</f>
        <v>1</v>
      </c>
    </row>
    <row r="64" spans="2:10" x14ac:dyDescent="0.3">
      <c r="B64" s="24" t="s">
        <v>135</v>
      </c>
      <c r="C64" s="24" t="s">
        <v>246</v>
      </c>
      <c r="D64" s="24" t="s">
        <v>246</v>
      </c>
      <c r="E64" s="24" t="s">
        <v>246</v>
      </c>
      <c r="F64" s="25">
        <f>-SUMIF('1.1 FY2024'!$B:$B,Database!B64,'1.1 FY2024'!$F:$F)</f>
        <v>0</v>
      </c>
      <c r="G64" s="25">
        <f>-SUMIF('1.2 FY2025'!$B:$B,Database!B64,'1.2 FY2025'!$F:$F)</f>
        <v>-38521</v>
      </c>
      <c r="H64" s="25">
        <f>-SUMIF('1.3 FY2026'!$B:$B,Database!B64,'1.3 FY2026'!$F:$F)</f>
        <v>0</v>
      </c>
      <c r="I64" s="24" t="s">
        <v>219</v>
      </c>
      <c r="J64" s="24">
        <f>COUNTIF('P&amp;L Model'!$B$4:$B$24,Database!I64)</f>
        <v>1</v>
      </c>
    </row>
    <row r="65" spans="2:10" x14ac:dyDescent="0.3">
      <c r="B65" s="24" t="s">
        <v>136</v>
      </c>
      <c r="C65" s="24" t="s">
        <v>246</v>
      </c>
      <c r="D65" s="24" t="s">
        <v>246</v>
      </c>
      <c r="E65" s="24" t="s">
        <v>246</v>
      </c>
      <c r="F65" s="25">
        <f>-SUMIF('1.1 FY2024'!$B:$B,Database!B65,'1.1 FY2024'!$F:$F)</f>
        <v>0</v>
      </c>
      <c r="G65" s="25">
        <f>-SUMIF('1.2 FY2025'!$B:$B,Database!B65,'1.2 FY2025'!$F:$F)</f>
        <v>-1820</v>
      </c>
      <c r="H65" s="25">
        <f>-SUMIF('1.3 FY2026'!$B:$B,Database!B65,'1.3 FY2026'!$F:$F)</f>
        <v>0</v>
      </c>
      <c r="I65" s="24" t="s">
        <v>219</v>
      </c>
      <c r="J65" s="24">
        <f>COUNTIF('P&amp;L Model'!$B$4:$B$24,Database!I65)</f>
        <v>1</v>
      </c>
    </row>
    <row r="66" spans="2:10" x14ac:dyDescent="0.3">
      <c r="B66" s="24" t="s">
        <v>139</v>
      </c>
      <c r="C66" s="24" t="s">
        <v>246</v>
      </c>
      <c r="D66" s="24" t="s">
        <v>246</v>
      </c>
      <c r="E66" s="24" t="s">
        <v>246</v>
      </c>
      <c r="F66" s="25">
        <f>-SUMIF('1.1 FY2024'!$B:$B,Database!B66,'1.1 FY2024'!$F:$F)</f>
        <v>0</v>
      </c>
      <c r="G66" s="25">
        <f>-SUMIF('1.2 FY2025'!$B:$B,Database!B66,'1.2 FY2025'!$F:$F)</f>
        <v>-10448.129999999999</v>
      </c>
      <c r="H66" s="25">
        <f>-SUMIF('1.3 FY2026'!$B:$B,Database!B66,'1.3 FY2026'!$F:$F)</f>
        <v>-673.34299999999985</v>
      </c>
      <c r="I66" s="24" t="s">
        <v>219</v>
      </c>
      <c r="J66" s="24">
        <f>COUNTIF('P&amp;L Model'!$B$4:$B$24,Database!I66)</f>
        <v>1</v>
      </c>
    </row>
    <row r="67" spans="2:10" x14ac:dyDescent="0.3">
      <c r="B67" s="24" t="s">
        <v>142</v>
      </c>
      <c r="C67" s="24" t="s">
        <v>246</v>
      </c>
      <c r="D67" s="24" t="s">
        <v>246</v>
      </c>
      <c r="E67" s="24" t="s">
        <v>246</v>
      </c>
      <c r="F67" s="25">
        <f>-SUMIF('1.1 FY2024'!$B:$B,Database!B67,'1.1 FY2024'!$F:$F)</f>
        <v>0</v>
      </c>
      <c r="G67" s="25">
        <f>-SUMIF('1.2 FY2025'!$B:$B,Database!B67,'1.2 FY2025'!$F:$F)</f>
        <v>-10412.5</v>
      </c>
      <c r="H67" s="25">
        <f>-SUMIF('1.3 FY2026'!$B:$B,Database!B67,'1.3 FY2026'!$F:$F)</f>
        <v>0</v>
      </c>
      <c r="I67" s="24" t="s">
        <v>219</v>
      </c>
      <c r="J67" s="24">
        <f>COUNTIF('P&amp;L Model'!$B$4:$B$24,Database!I67)</f>
        <v>1</v>
      </c>
    </row>
    <row r="68" spans="2:10" x14ac:dyDescent="0.3">
      <c r="B68" s="24" t="s">
        <v>146</v>
      </c>
      <c r="C68" s="24" t="s">
        <v>246</v>
      </c>
      <c r="D68" s="24" t="s">
        <v>246</v>
      </c>
      <c r="E68" s="24" t="s">
        <v>246</v>
      </c>
      <c r="F68" s="25">
        <f>-SUMIF('1.1 FY2024'!$B:$B,Database!B68,'1.1 FY2024'!$F:$F)</f>
        <v>0</v>
      </c>
      <c r="G68" s="25">
        <f>-SUMIF('1.2 FY2025'!$B:$B,Database!B68,'1.2 FY2025'!$F:$F)</f>
        <v>-6919.8499999999995</v>
      </c>
      <c r="H68" s="25">
        <f>-SUMIF('1.3 FY2026'!$B:$B,Database!B68,'1.3 FY2026'!$F:$F)</f>
        <v>0</v>
      </c>
      <c r="I68" s="24" t="s">
        <v>220</v>
      </c>
      <c r="J68" s="24">
        <f>COUNTIF('P&amp;L Model'!$B$4:$B$24,Database!I68)</f>
        <v>1</v>
      </c>
    </row>
    <row r="69" spans="2:10" x14ac:dyDescent="0.3">
      <c r="B69" s="24" t="s">
        <v>148</v>
      </c>
      <c r="C69" s="24" t="s">
        <v>246</v>
      </c>
      <c r="D69" s="24" t="s">
        <v>246</v>
      </c>
      <c r="E69" s="24" t="s">
        <v>246</v>
      </c>
      <c r="F69" s="25">
        <f>-SUMIF('1.1 FY2024'!$B:$B,Database!B69,'1.1 FY2024'!$F:$F)</f>
        <v>0</v>
      </c>
      <c r="G69" s="25">
        <f>-SUMIF('1.2 FY2025'!$B:$B,Database!B69,'1.2 FY2025'!$F:$F)</f>
        <v>-146328.94499999998</v>
      </c>
      <c r="H69" s="25">
        <f>-SUMIF('1.3 FY2026'!$B:$B,Database!B69,'1.3 FY2026'!$F:$F)</f>
        <v>-12593.355</v>
      </c>
      <c r="I69" s="24" t="s">
        <v>50</v>
      </c>
      <c r="J69" s="24">
        <f>COUNTIF('P&amp;L Model'!$B$4:$B$24,Database!I69)</f>
        <v>1</v>
      </c>
    </row>
    <row r="70" spans="2:10" x14ac:dyDescent="0.3">
      <c r="B70" s="24" t="s">
        <v>149</v>
      </c>
      <c r="C70" s="24" t="s">
        <v>246</v>
      </c>
      <c r="D70" s="24" t="s">
        <v>246</v>
      </c>
      <c r="E70" s="24" t="s">
        <v>246</v>
      </c>
      <c r="F70" s="25">
        <f>-SUMIF('1.1 FY2024'!$B:$B,Database!B70,'1.1 FY2024'!$F:$F)</f>
        <v>0</v>
      </c>
      <c r="G70" s="25">
        <f>-SUMIF('1.2 FY2025'!$B:$B,Database!B70,'1.2 FY2025'!$F:$F)</f>
        <v>121553.07499999998</v>
      </c>
      <c r="H70" s="25">
        <f>-SUMIF('1.3 FY2026'!$B:$B,Database!B70,'1.3 FY2026'!$F:$F)</f>
        <v>0</v>
      </c>
      <c r="I70" s="24" t="s">
        <v>226</v>
      </c>
      <c r="J70" s="24">
        <f>COUNTIF('P&amp;L Model'!$B$4:$B$24,Database!I70)</f>
        <v>1</v>
      </c>
    </row>
    <row r="71" spans="2:10" x14ac:dyDescent="0.3">
      <c r="B71" s="24" t="s">
        <v>151</v>
      </c>
      <c r="C71" s="24" t="s">
        <v>246</v>
      </c>
      <c r="D71" s="24" t="s">
        <v>246</v>
      </c>
      <c r="E71" s="24" t="s">
        <v>246</v>
      </c>
      <c r="F71" s="25">
        <f>-SUMIF('1.1 FY2024'!$B:$B,Database!B71,'1.1 FY2024'!$F:$F)</f>
        <v>0</v>
      </c>
      <c r="G71" s="25">
        <f>-SUMIF('1.2 FY2025'!$B:$B,Database!B71,'1.2 FY2025'!$F:$F)</f>
        <v>416278.66</v>
      </c>
      <c r="H71" s="25">
        <f>-SUMIF('1.3 FY2026'!$B:$B,Database!B71,'1.3 FY2026'!$F:$F)</f>
        <v>622966.38600000006</v>
      </c>
      <c r="I71" s="24" t="s">
        <v>221</v>
      </c>
      <c r="J71" s="24">
        <f>COUNTIF('P&amp;L Model'!$B$4:$B$24,Database!I71)</f>
        <v>1</v>
      </c>
    </row>
    <row r="72" spans="2:10" x14ac:dyDescent="0.3">
      <c r="B72" s="24" t="s">
        <v>152</v>
      </c>
      <c r="C72" s="24" t="s">
        <v>246</v>
      </c>
      <c r="D72" s="24" t="s">
        <v>246</v>
      </c>
      <c r="E72" s="24" t="s">
        <v>246</v>
      </c>
      <c r="F72" s="25">
        <f>-SUMIF('1.1 FY2024'!$B:$B,Database!B72,'1.1 FY2024'!$F:$F)</f>
        <v>0</v>
      </c>
      <c r="G72" s="25">
        <f>-SUMIF('1.2 FY2025'!$B:$B,Database!B72,'1.2 FY2025'!$F:$F)</f>
        <v>364243.84499999997</v>
      </c>
      <c r="H72" s="25">
        <f>-SUMIF('1.3 FY2026'!$B:$B,Database!B72,'1.3 FY2026'!$F:$F)</f>
        <v>0</v>
      </c>
      <c r="I72" s="24" t="s">
        <v>221</v>
      </c>
      <c r="J72" s="24">
        <f>COUNTIF('P&amp;L Model'!$B$4:$B$24,Database!I72)</f>
        <v>1</v>
      </c>
    </row>
    <row r="73" spans="2:10" x14ac:dyDescent="0.3">
      <c r="B73" s="24" t="s">
        <v>155</v>
      </c>
      <c r="C73" s="24" t="s">
        <v>246</v>
      </c>
      <c r="D73" s="24" t="s">
        <v>246</v>
      </c>
      <c r="E73" s="24" t="s">
        <v>246</v>
      </c>
      <c r="F73" s="25">
        <f>-SUMIF('1.1 FY2024'!$B:$B,Database!B73,'1.1 FY2024'!$F:$F)</f>
        <v>0</v>
      </c>
      <c r="G73" s="25">
        <f>-SUMIF('1.2 FY2025'!$B:$B,Database!B73,'1.2 FY2025'!$F:$F)</f>
        <v>0</v>
      </c>
      <c r="H73" s="25">
        <f>-SUMIF('1.3 FY2026'!$B:$B,Database!B73,'1.3 FY2026'!$F:$F)</f>
        <v>0</v>
      </c>
      <c r="I73" s="24" t="s">
        <v>221</v>
      </c>
      <c r="J73" s="24">
        <f>COUNTIF('P&amp;L Model'!$B$4:$B$24,Database!I73)</f>
        <v>1</v>
      </c>
    </row>
    <row r="74" spans="2:10" x14ac:dyDescent="0.3">
      <c r="B74" s="24" t="s">
        <v>157</v>
      </c>
      <c r="C74" s="24" t="s">
        <v>246</v>
      </c>
      <c r="D74" s="24" t="s">
        <v>246</v>
      </c>
      <c r="E74" s="24" t="s">
        <v>246</v>
      </c>
      <c r="F74" s="25">
        <f>-SUMIF('1.1 FY2024'!$B:$B,Database!B74,'1.1 FY2024'!$F:$F)</f>
        <v>0</v>
      </c>
      <c r="G74" s="25">
        <f>-SUMIF('1.2 FY2025'!$B:$B,Database!B74,'1.2 FY2025'!$F:$F)</f>
        <v>482611.04499999998</v>
      </c>
      <c r="H74" s="25">
        <f>-SUMIF('1.3 FY2026'!$B:$B,Database!B74,'1.3 FY2026'!$F:$F)</f>
        <v>1948832.1429999999</v>
      </c>
      <c r="I74" s="24" t="s">
        <v>221</v>
      </c>
      <c r="J74" s="24">
        <f>COUNTIF('P&amp;L Model'!$B$4:$B$24,Database!I74)</f>
        <v>1</v>
      </c>
    </row>
    <row r="75" spans="2:10" x14ac:dyDescent="0.3">
      <c r="B75" s="24" t="s">
        <v>160</v>
      </c>
      <c r="C75" s="24" t="s">
        <v>246</v>
      </c>
      <c r="D75" s="24" t="s">
        <v>246</v>
      </c>
      <c r="E75" s="24" t="s">
        <v>246</v>
      </c>
      <c r="F75" s="25">
        <f>-SUMIF('1.1 FY2024'!$B:$B,Database!B75,'1.1 FY2024'!$F:$F)</f>
        <v>0</v>
      </c>
      <c r="G75" s="25">
        <f>-SUMIF('1.2 FY2025'!$B:$B,Database!B75,'1.2 FY2025'!$F:$F)</f>
        <v>2436.35</v>
      </c>
      <c r="H75" s="25">
        <f>-SUMIF('1.3 FY2026'!$B:$B,Database!B75,'1.3 FY2026'!$F:$F)</f>
        <v>0</v>
      </c>
      <c r="I75" s="24" t="s">
        <v>70</v>
      </c>
      <c r="J75" s="24">
        <f>COUNTIF('P&amp;L Model'!$B$4:$B$24,Database!I75)</f>
        <v>1</v>
      </c>
    </row>
    <row r="76" spans="2:10" x14ac:dyDescent="0.3">
      <c r="B76" s="24" t="s">
        <v>161</v>
      </c>
      <c r="C76" s="24" t="s">
        <v>246</v>
      </c>
      <c r="D76" s="24" t="s">
        <v>246</v>
      </c>
      <c r="E76" s="24" t="s">
        <v>246</v>
      </c>
      <c r="F76" s="25">
        <f>-SUMIF('1.1 FY2024'!$B:$B,Database!B76,'1.1 FY2024'!$F:$F)</f>
        <v>0</v>
      </c>
      <c r="G76" s="25">
        <f>-SUMIF('1.2 FY2025'!$B:$B,Database!B76,'1.2 FY2025'!$F:$F)</f>
        <v>-81.339999999999989</v>
      </c>
      <c r="H76" s="25">
        <f>-SUMIF('1.3 FY2026'!$B:$B,Database!B76,'1.3 FY2026'!$F:$F)</f>
        <v>0</v>
      </c>
      <c r="I76" s="24" t="s">
        <v>219</v>
      </c>
      <c r="J76" s="24">
        <f>COUNTIF('P&amp;L Model'!$B$4:$B$24,Database!I76)</f>
        <v>1</v>
      </c>
    </row>
    <row r="77" spans="2:10" x14ac:dyDescent="0.3">
      <c r="B77" s="24" t="s">
        <v>163</v>
      </c>
      <c r="C77" s="24" t="s">
        <v>246</v>
      </c>
      <c r="D77" s="24" t="s">
        <v>246</v>
      </c>
      <c r="E77" s="24" t="s">
        <v>246</v>
      </c>
      <c r="F77" s="25">
        <f>-SUMIF('1.1 FY2024'!$B:$B,Database!B77,'1.1 FY2024'!$F:$F)</f>
        <v>0</v>
      </c>
      <c r="G77" s="25">
        <f>-SUMIF('1.2 FY2025'!$B:$B,Database!B77,'1.2 FY2025'!$F:$F)</f>
        <v>-276920</v>
      </c>
      <c r="H77" s="25">
        <f>-SUMIF('1.3 FY2026'!$B:$B,Database!B77,'1.3 FY2026'!$F:$F)</f>
        <v>-473575.46100000001</v>
      </c>
      <c r="I77" s="24" t="s">
        <v>223</v>
      </c>
      <c r="J77" s="24">
        <f>COUNTIF('P&amp;L Model'!$B$4:$B$24,Database!I77)</f>
        <v>1</v>
      </c>
    </row>
    <row r="78" spans="2:10" x14ac:dyDescent="0.3">
      <c r="B78" s="24" t="s">
        <v>164</v>
      </c>
      <c r="C78" s="24" t="s">
        <v>246</v>
      </c>
      <c r="D78" s="24" t="s">
        <v>246</v>
      </c>
      <c r="E78" s="24" t="s">
        <v>246</v>
      </c>
      <c r="F78" s="25">
        <f>-SUMIF('1.1 FY2024'!$B:$B,Database!B78,'1.1 FY2024'!$F:$F)</f>
        <v>0</v>
      </c>
      <c r="G78" s="25">
        <f>-SUMIF('1.2 FY2025'!$B:$B,Database!B78,'1.2 FY2025'!$F:$F)</f>
        <v>0</v>
      </c>
      <c r="H78" s="25">
        <f>-SUMIF('1.3 FY2026'!$B:$B,Database!B78,'1.3 FY2026'!$F:$F)</f>
        <v>0</v>
      </c>
      <c r="I78" s="24"/>
      <c r="J78" s="24">
        <f>COUNTIF('P&amp;L Model'!$B$4:$B$24,Database!I78)</f>
        <v>0</v>
      </c>
    </row>
    <row r="79" spans="2:10" x14ac:dyDescent="0.3">
      <c r="B79" s="24" t="s">
        <v>166</v>
      </c>
      <c r="C79" s="24" t="s">
        <v>246</v>
      </c>
      <c r="D79" s="24" t="s">
        <v>246</v>
      </c>
      <c r="E79" s="24" t="s">
        <v>246</v>
      </c>
      <c r="F79" s="25">
        <f>-SUMIF('1.1 FY2024'!$B:$B,Database!B79,'1.1 FY2024'!$F:$F)</f>
        <v>0</v>
      </c>
      <c r="G79" s="25">
        <f>-SUMIF('1.2 FY2025'!$B:$B,Database!B79,'1.2 FY2025'!$F:$F)</f>
        <v>-23928.799999999999</v>
      </c>
      <c r="H79" s="25">
        <f>-SUMIF('1.3 FY2026'!$B:$B,Database!B79,'1.3 FY2026'!$F:$F)</f>
        <v>0</v>
      </c>
      <c r="I79" s="24" t="s">
        <v>219</v>
      </c>
      <c r="J79" s="24">
        <f>COUNTIF('P&amp;L Model'!$B$4:$B$24,Database!I79)</f>
        <v>1</v>
      </c>
    </row>
    <row r="80" spans="2:10" x14ac:dyDescent="0.3">
      <c r="B80" s="24" t="s">
        <v>169</v>
      </c>
      <c r="C80" s="24" t="s">
        <v>246</v>
      </c>
      <c r="D80" s="24" t="s">
        <v>246</v>
      </c>
      <c r="E80" s="24" t="s">
        <v>246</v>
      </c>
      <c r="F80" s="25">
        <f>-SUMIF('1.1 FY2024'!$B:$B,Database!B80,'1.1 FY2024'!$F:$F)</f>
        <v>0</v>
      </c>
      <c r="G80" s="25">
        <f>-SUMIF('1.2 FY2025'!$B:$B,Database!B80,'1.2 FY2025'!$F:$F)</f>
        <v>-308232</v>
      </c>
      <c r="H80" s="25">
        <f>-SUMIF('1.3 FY2026'!$B:$B,Database!B80,'1.3 FY2026'!$F:$F)</f>
        <v>0</v>
      </c>
      <c r="I80" s="24" t="s">
        <v>226</v>
      </c>
      <c r="J80" s="24">
        <f>COUNTIF('P&amp;L Model'!$B$4:$B$24,Database!I80)</f>
        <v>1</v>
      </c>
    </row>
    <row r="81" spans="2:10" x14ac:dyDescent="0.3">
      <c r="B81" s="24" t="s">
        <v>171</v>
      </c>
      <c r="C81" s="24" t="s">
        <v>246</v>
      </c>
      <c r="D81" s="24" t="s">
        <v>246</v>
      </c>
      <c r="E81" s="24" t="s">
        <v>246</v>
      </c>
      <c r="F81" s="25">
        <f>-SUMIF('1.1 FY2024'!$B:$B,Database!B81,'1.1 FY2024'!$F:$F)</f>
        <v>0</v>
      </c>
      <c r="G81" s="25">
        <f>-SUMIF('1.2 FY2025'!$B:$B,Database!B81,'1.2 FY2025'!$F:$F)</f>
        <v>-13422.779999999999</v>
      </c>
      <c r="H81" s="25">
        <f>-SUMIF('1.3 FY2026'!$B:$B,Database!B81,'1.3 FY2026'!$F:$F)</f>
        <v>0</v>
      </c>
      <c r="I81" s="24" t="s">
        <v>219</v>
      </c>
      <c r="J81" s="24">
        <f>COUNTIF('P&amp;L Model'!$B$4:$B$24,Database!I81)</f>
        <v>1</v>
      </c>
    </row>
    <row r="82" spans="2:10" x14ac:dyDescent="0.3">
      <c r="B82" s="24" t="s">
        <v>173</v>
      </c>
      <c r="C82" s="24" t="s">
        <v>246</v>
      </c>
      <c r="D82" s="24" t="s">
        <v>246</v>
      </c>
      <c r="E82" s="24" t="s">
        <v>246</v>
      </c>
      <c r="F82" s="25">
        <f>-SUMIF('1.1 FY2024'!$B:$B,Database!B82,'1.1 FY2024'!$F:$F)</f>
        <v>0</v>
      </c>
      <c r="G82" s="25">
        <f>-SUMIF('1.2 FY2025'!$B:$B,Database!B82,'1.2 FY2025'!$F:$F)</f>
        <v>-4045.6150000000002</v>
      </c>
      <c r="H82" s="25">
        <f>-SUMIF('1.3 FY2026'!$B:$B,Database!B82,'1.3 FY2026'!$F:$F)</f>
        <v>0</v>
      </c>
      <c r="I82" s="24" t="s">
        <v>219</v>
      </c>
      <c r="J82" s="24">
        <f>COUNTIF('P&amp;L Model'!$B$4:$B$24,Database!I82)</f>
        <v>1</v>
      </c>
    </row>
    <row r="83" spans="2:10" x14ac:dyDescent="0.3">
      <c r="B83" s="24" t="s">
        <v>174</v>
      </c>
      <c r="C83" s="24" t="s">
        <v>246</v>
      </c>
      <c r="D83" s="24" t="s">
        <v>246</v>
      </c>
      <c r="E83" s="24" t="s">
        <v>246</v>
      </c>
      <c r="F83" s="25">
        <f>-SUMIF('1.1 FY2024'!$B:$B,Database!B83,'1.1 FY2024'!$F:$F)</f>
        <v>0</v>
      </c>
      <c r="G83" s="25">
        <f>-SUMIF('1.2 FY2025'!$B:$B,Database!B83,'1.2 FY2025'!$F:$F)</f>
        <v>-49621.144999999997</v>
      </c>
      <c r="H83" s="25">
        <f>-SUMIF('1.3 FY2026'!$B:$B,Database!B83,'1.3 FY2026'!$F:$F)</f>
        <v>0</v>
      </c>
      <c r="I83" s="24" t="s">
        <v>219</v>
      </c>
      <c r="J83" s="24">
        <f>COUNTIF('P&amp;L Model'!$B$4:$B$24,Database!I83)</f>
        <v>1</v>
      </c>
    </row>
    <row r="84" spans="2:10" x14ac:dyDescent="0.3">
      <c r="B84" s="24" t="s">
        <v>176</v>
      </c>
      <c r="C84" s="24" t="s">
        <v>246</v>
      </c>
      <c r="D84" s="24" t="s">
        <v>246</v>
      </c>
      <c r="E84" s="24" t="s">
        <v>246</v>
      </c>
      <c r="F84" s="25">
        <f>-SUMIF('1.1 FY2024'!$B:$B,Database!B84,'1.1 FY2024'!$F:$F)</f>
        <v>0</v>
      </c>
      <c r="G84" s="25">
        <f>-SUMIF('1.2 FY2025'!$B:$B,Database!B84,'1.2 FY2025'!$F:$F)</f>
        <v>-85462.684999999998</v>
      </c>
      <c r="H84" s="25">
        <f>-SUMIF('1.3 FY2026'!$B:$B,Database!B84,'1.3 FY2026'!$F:$F)</f>
        <v>0</v>
      </c>
      <c r="I84" s="24" t="s">
        <v>226</v>
      </c>
      <c r="J84" s="24">
        <f>COUNTIF('P&amp;L Model'!$B$4:$B$24,Database!I84)</f>
        <v>1</v>
      </c>
    </row>
    <row r="85" spans="2:10" x14ac:dyDescent="0.3">
      <c r="B85" s="24" t="s">
        <v>177</v>
      </c>
      <c r="C85" s="24" t="s">
        <v>246</v>
      </c>
      <c r="D85" s="24" t="s">
        <v>246</v>
      </c>
      <c r="E85" s="24" t="s">
        <v>246</v>
      </c>
      <c r="F85" s="25">
        <f>-SUMIF('1.1 FY2024'!$B:$B,Database!B85,'1.1 FY2024'!$F:$F)</f>
        <v>0</v>
      </c>
      <c r="G85" s="25">
        <f>-SUMIF('1.2 FY2025'!$B:$B,Database!B85,'1.2 FY2025'!$F:$F)</f>
        <v>-11422.144999999999</v>
      </c>
      <c r="H85" s="25">
        <f>-SUMIF('1.3 FY2026'!$B:$B,Database!B85,'1.3 FY2026'!$F:$F)</f>
        <v>0</v>
      </c>
      <c r="I85" s="24" t="s">
        <v>226</v>
      </c>
      <c r="J85" s="24">
        <f>COUNTIF('P&amp;L Model'!$B$4:$B$24,Database!I85)</f>
        <v>1</v>
      </c>
    </row>
    <row r="86" spans="2:10" x14ac:dyDescent="0.3">
      <c r="B86" s="24" t="s">
        <v>178</v>
      </c>
      <c r="C86" s="24" t="s">
        <v>246</v>
      </c>
      <c r="D86" s="24" t="s">
        <v>246</v>
      </c>
      <c r="E86" s="24" t="s">
        <v>246</v>
      </c>
      <c r="F86" s="25">
        <f>-SUMIF('1.1 FY2024'!$B:$B,Database!B86,'1.1 FY2024'!$F:$F)</f>
        <v>0</v>
      </c>
      <c r="G86" s="25">
        <f>-SUMIF('1.2 FY2025'!$B:$B,Database!B86,'1.2 FY2025'!$F:$F)</f>
        <v>-84438.864999999991</v>
      </c>
      <c r="H86" s="25">
        <f>-SUMIF('1.3 FY2026'!$B:$B,Database!B86,'1.3 FY2026'!$F:$F)</f>
        <v>0</v>
      </c>
      <c r="I86" s="24" t="s">
        <v>226</v>
      </c>
      <c r="J86" s="24">
        <f>COUNTIF('P&amp;L Model'!$B$4:$B$24,Database!I86)</f>
        <v>1</v>
      </c>
    </row>
    <row r="87" spans="2:10" x14ac:dyDescent="0.3">
      <c r="B87" s="24" t="s">
        <v>179</v>
      </c>
      <c r="C87" s="24" t="s">
        <v>246</v>
      </c>
      <c r="D87" s="24" t="s">
        <v>246</v>
      </c>
      <c r="E87" s="24" t="s">
        <v>246</v>
      </c>
      <c r="F87" s="25">
        <f>-SUMIF('1.1 FY2024'!$B:$B,Database!B87,'1.1 FY2024'!$F:$F)</f>
        <v>0</v>
      </c>
      <c r="G87" s="25">
        <f>-SUMIF('1.2 FY2025'!$B:$B,Database!B87,'1.2 FY2025'!$F:$F)</f>
        <v>0</v>
      </c>
      <c r="H87" s="25">
        <f>-SUMIF('1.3 FY2026'!$B:$B,Database!B87,'1.3 FY2026'!$F:$F)</f>
        <v>0</v>
      </c>
      <c r="I87" s="24"/>
      <c r="J87" s="24">
        <f>COUNTIF('P&amp;L Model'!$B$4:$B$24,Database!I87)</f>
        <v>0</v>
      </c>
    </row>
    <row r="88" spans="2:10" x14ac:dyDescent="0.3">
      <c r="B88" s="24" t="s">
        <v>180</v>
      </c>
      <c r="C88" s="24" t="s">
        <v>246</v>
      </c>
      <c r="D88" s="24" t="s">
        <v>246</v>
      </c>
      <c r="E88" s="24" t="s">
        <v>246</v>
      </c>
      <c r="F88" s="25">
        <f>-SUMIF('1.1 FY2024'!$B:$B,Database!B88,'1.1 FY2024'!$F:$F)</f>
        <v>0</v>
      </c>
      <c r="G88" s="25">
        <f>-SUMIF('1.2 FY2025'!$B:$B,Database!B88,'1.2 FY2025'!$F:$F)</f>
        <v>0</v>
      </c>
      <c r="H88" s="25">
        <f>-SUMIF('1.3 FY2026'!$B:$B,Database!B88,'1.3 FY2026'!$F:$F)</f>
        <v>0</v>
      </c>
      <c r="I88" s="24" t="s">
        <v>225</v>
      </c>
      <c r="J88" s="24">
        <f>COUNTIF('P&amp;L Model'!$B$4:$B$24,Database!I88)</f>
        <v>1</v>
      </c>
    </row>
    <row r="89" spans="2:10" x14ac:dyDescent="0.3">
      <c r="B89" s="24" t="s">
        <v>181</v>
      </c>
      <c r="C89" s="24" t="s">
        <v>246</v>
      </c>
      <c r="D89" s="24" t="s">
        <v>246</v>
      </c>
      <c r="E89" s="24" t="s">
        <v>246</v>
      </c>
      <c r="F89" s="25">
        <f>-SUMIF('1.1 FY2024'!$B:$B,Database!B89,'1.1 FY2024'!$F:$F)</f>
        <v>0</v>
      </c>
      <c r="G89" s="25">
        <f>-SUMIF('1.2 FY2025'!$B:$B,Database!B89,'1.2 FY2025'!$F:$F)</f>
        <v>6778.415</v>
      </c>
      <c r="H89" s="25">
        <f>-SUMIF('1.3 FY2026'!$B:$B,Database!B89,'1.3 FY2026'!$F:$F)</f>
        <v>0</v>
      </c>
      <c r="I89" s="24" t="s">
        <v>225</v>
      </c>
      <c r="J89" s="24">
        <f>COUNTIF('P&amp;L Model'!$B$4:$B$24,Database!I89)</f>
        <v>1</v>
      </c>
    </row>
    <row r="90" spans="2:10" x14ac:dyDescent="0.3">
      <c r="B90" s="24" t="s">
        <v>183</v>
      </c>
      <c r="C90" s="24" t="s">
        <v>246</v>
      </c>
      <c r="D90" s="24" t="s">
        <v>246</v>
      </c>
      <c r="E90" s="24" t="s">
        <v>246</v>
      </c>
      <c r="F90" s="25">
        <f>-SUMIF('1.1 FY2024'!$B:$B,Database!B90,'1.1 FY2024'!$F:$F)</f>
        <v>0</v>
      </c>
      <c r="G90" s="25">
        <f>-SUMIF('1.2 FY2025'!$B:$B,Database!B90,'1.2 FY2025'!$F:$F)</f>
        <v>0</v>
      </c>
      <c r="H90" s="25">
        <f>-SUMIF('1.3 FY2026'!$B:$B,Database!B90,'1.3 FY2026'!$F:$F)</f>
        <v>0</v>
      </c>
      <c r="I90" s="24" t="s">
        <v>225</v>
      </c>
      <c r="J90" s="24">
        <f>COUNTIF('P&amp;L Model'!$B$4:$B$24,Database!I90)</f>
        <v>1</v>
      </c>
    </row>
    <row r="91" spans="2:10" x14ac:dyDescent="0.3">
      <c r="B91" s="24" t="s">
        <v>184</v>
      </c>
      <c r="C91" s="24" t="s">
        <v>246</v>
      </c>
      <c r="D91" s="24" t="s">
        <v>246</v>
      </c>
      <c r="E91" s="24" t="s">
        <v>246</v>
      </c>
      <c r="F91" s="25">
        <f>-SUMIF('1.1 FY2024'!$B:$B,Database!B91,'1.1 FY2024'!$F:$F)</f>
        <v>0</v>
      </c>
      <c r="G91" s="25">
        <f>-SUMIF('1.2 FY2025'!$B:$B,Database!B91,'1.2 FY2025'!$F:$F)</f>
        <v>-1250.7950000000001</v>
      </c>
      <c r="H91" s="25">
        <f>-SUMIF('1.3 FY2026'!$B:$B,Database!B91,'1.3 FY2026'!$F:$F)</f>
        <v>-51.454999999999998</v>
      </c>
      <c r="I91" s="24" t="s">
        <v>225</v>
      </c>
      <c r="J91" s="24">
        <f>COUNTIF('P&amp;L Model'!$B$4:$B$24,Database!I91)</f>
        <v>1</v>
      </c>
    </row>
    <row r="92" spans="2:10" x14ac:dyDescent="0.3">
      <c r="B92" s="24" t="s">
        <v>185</v>
      </c>
      <c r="C92" s="24" t="s">
        <v>246</v>
      </c>
      <c r="D92" s="24" t="s">
        <v>246</v>
      </c>
      <c r="E92" s="24" t="s">
        <v>246</v>
      </c>
      <c r="F92" s="25">
        <f>-SUMIF('1.1 FY2024'!$B:$B,Database!B92,'1.1 FY2024'!$F:$F)</f>
        <v>0</v>
      </c>
      <c r="G92" s="25">
        <f>-SUMIF('1.2 FY2025'!$B:$B,Database!B92,'1.2 FY2025'!$F:$F)</f>
        <v>-4130000</v>
      </c>
      <c r="H92" s="25">
        <f>-SUMIF('1.3 FY2026'!$B:$B,Database!B92,'1.3 FY2026'!$F:$F)</f>
        <v>0</v>
      </c>
      <c r="I92" s="24" t="s">
        <v>226</v>
      </c>
      <c r="J92" s="24">
        <f>COUNTIF('P&amp;L Model'!$B$4:$B$24,Database!I92)</f>
        <v>1</v>
      </c>
    </row>
    <row r="93" spans="2:10" x14ac:dyDescent="0.3">
      <c r="B93" s="24" t="s">
        <v>187</v>
      </c>
      <c r="C93" s="24" t="s">
        <v>246</v>
      </c>
      <c r="D93" s="24" t="s">
        <v>246</v>
      </c>
      <c r="E93" s="24" t="s">
        <v>246</v>
      </c>
      <c r="F93" s="25">
        <f>-SUMIF('1.1 FY2024'!$B:$B,Database!B93,'1.1 FY2024'!$F:$F)</f>
        <v>0</v>
      </c>
      <c r="G93" s="25">
        <f>-SUMIF('1.2 FY2025'!$B:$B,Database!B93,'1.2 FY2025'!$F:$F)</f>
        <v>0</v>
      </c>
      <c r="H93" s="25">
        <f>-SUMIF('1.3 FY2026'!$B:$B,Database!B93,'1.3 FY2026'!$F:$F)</f>
        <v>0</v>
      </c>
      <c r="I93" s="24"/>
      <c r="J93" s="24">
        <f>COUNTIF('P&amp;L Model'!$B$4:$B$24,Database!I93)</f>
        <v>0</v>
      </c>
    </row>
    <row r="94" spans="2:10" x14ac:dyDescent="0.3">
      <c r="B94" s="24" t="s">
        <v>189</v>
      </c>
      <c r="C94" s="24" t="s">
        <v>246</v>
      </c>
      <c r="D94" s="24" t="s">
        <v>246</v>
      </c>
      <c r="E94" s="24" t="s">
        <v>246</v>
      </c>
      <c r="F94" s="25">
        <f>-SUMIF('1.1 FY2024'!$B:$B,Database!B94,'1.1 FY2024'!$F:$F)</f>
        <v>0</v>
      </c>
      <c r="G94" s="25">
        <f>-SUMIF('1.2 FY2025'!$B:$B,Database!B94,'1.2 FY2025'!$F:$F)</f>
        <v>-6073808.1600000001</v>
      </c>
      <c r="H94" s="25">
        <f>-SUMIF('1.3 FY2026'!$B:$B,Database!B94,'1.3 FY2026'!$F:$F)</f>
        <v>779290.47600000002</v>
      </c>
      <c r="I94" s="24" t="s">
        <v>228</v>
      </c>
      <c r="J94" s="24">
        <f>COUNTIF('P&amp;L Model'!$B$4:$B$24,Database!I94)</f>
        <v>1</v>
      </c>
    </row>
    <row r="95" spans="2:10" x14ac:dyDescent="0.3">
      <c r="B95" s="24" t="s">
        <v>192</v>
      </c>
      <c r="C95" s="24" t="s">
        <v>246</v>
      </c>
      <c r="D95" s="24" t="s">
        <v>246</v>
      </c>
      <c r="E95" s="24" t="s">
        <v>246</v>
      </c>
      <c r="F95" s="25">
        <f>-SUMIF('1.1 FY2024'!$B:$B,Database!B95,'1.1 FY2024'!$F:$F)</f>
        <v>0</v>
      </c>
      <c r="G95" s="25">
        <f>-SUMIF('1.2 FY2025'!$B:$B,Database!B95,'1.2 FY2025'!$F:$F)</f>
        <v>0</v>
      </c>
      <c r="H95" s="25">
        <f>-SUMIF('1.3 FY2026'!$B:$B,Database!B95,'1.3 FY2026'!$F:$F)</f>
        <v>-13691.949999999999</v>
      </c>
      <c r="I95" s="24" t="s">
        <v>219</v>
      </c>
      <c r="J95" s="24">
        <f>COUNTIF('P&amp;L Model'!$B$4:$B$24,Database!I95)</f>
        <v>1</v>
      </c>
    </row>
    <row r="96" spans="2:10" x14ac:dyDescent="0.3">
      <c r="B96" s="24" t="s">
        <v>194</v>
      </c>
      <c r="C96" s="24" t="s">
        <v>246</v>
      </c>
      <c r="D96" s="24" t="s">
        <v>246</v>
      </c>
      <c r="E96" s="24" t="s">
        <v>246</v>
      </c>
      <c r="F96" s="25">
        <f>-SUMIF('1.1 FY2024'!$B:$B,Database!B96,'1.1 FY2024'!$F:$F)</f>
        <v>0</v>
      </c>
      <c r="G96" s="25">
        <f>-SUMIF('1.2 FY2025'!$B:$B,Database!B96,'1.2 FY2025'!$F:$F)</f>
        <v>0</v>
      </c>
      <c r="H96" s="25">
        <f>-SUMIF('1.3 FY2026'!$B:$B,Database!B96,'1.3 FY2026'!$F:$F)</f>
        <v>-192017.14499999996</v>
      </c>
      <c r="I96" s="24" t="s">
        <v>219</v>
      </c>
      <c r="J96" s="24">
        <f>COUNTIF('P&amp;L Model'!$B$4:$B$24,Database!I96)</f>
        <v>1</v>
      </c>
    </row>
    <row r="97" spans="2:10" x14ac:dyDescent="0.3">
      <c r="B97" s="24" t="s">
        <v>197</v>
      </c>
      <c r="C97" s="24" t="s">
        <v>246</v>
      </c>
      <c r="D97" s="24" t="s">
        <v>246</v>
      </c>
      <c r="E97" s="24" t="s">
        <v>246</v>
      </c>
      <c r="F97" s="25">
        <f>-SUMIF('1.1 FY2024'!$B:$B,Database!B97,'1.1 FY2024'!$F:$F)</f>
        <v>0</v>
      </c>
      <c r="G97" s="25">
        <f>-SUMIF('1.2 FY2025'!$B:$B,Database!B97,'1.2 FY2025'!$F:$F)</f>
        <v>0</v>
      </c>
      <c r="H97" s="25">
        <f>-SUMIF('1.3 FY2026'!$B:$B,Database!B97,'1.3 FY2026'!$F:$F)</f>
        <v>-375290.46599999996</v>
      </c>
      <c r="I97" s="24" t="s">
        <v>219</v>
      </c>
      <c r="J97" s="24">
        <f>COUNTIF('P&amp;L Model'!$B$4:$B$24,Database!I97)</f>
        <v>1</v>
      </c>
    </row>
    <row r="98" spans="2:10" x14ac:dyDescent="0.3">
      <c r="B98" s="24" t="s">
        <v>198</v>
      </c>
      <c r="C98" s="24" t="s">
        <v>246</v>
      </c>
      <c r="D98" s="24" t="s">
        <v>246</v>
      </c>
      <c r="E98" s="24" t="s">
        <v>246</v>
      </c>
      <c r="F98" s="25">
        <f>-SUMIF('1.1 FY2024'!$B:$B,Database!B98,'1.1 FY2024'!$F:$F)</f>
        <v>0</v>
      </c>
      <c r="G98" s="25">
        <f>-SUMIF('1.2 FY2025'!$B:$B,Database!B98,'1.2 FY2025'!$F:$F)</f>
        <v>0</v>
      </c>
      <c r="H98" s="25">
        <f>-SUMIF('1.3 FY2026'!$B:$B,Database!B98,'1.3 FY2026'!$F:$F)</f>
        <v>-4920</v>
      </c>
      <c r="I98" s="24" t="s">
        <v>219</v>
      </c>
      <c r="J98" s="24">
        <f>COUNTIF('P&amp;L Model'!$B$4:$B$24,Database!I98)</f>
        <v>1</v>
      </c>
    </row>
    <row r="99" spans="2:10" x14ac:dyDescent="0.3">
      <c r="B99" s="24" t="s">
        <v>200</v>
      </c>
      <c r="C99" s="24" t="s">
        <v>246</v>
      </c>
      <c r="D99" s="24" t="s">
        <v>246</v>
      </c>
      <c r="E99" s="24" t="s">
        <v>246</v>
      </c>
      <c r="F99" s="25">
        <f>-SUMIF('1.1 FY2024'!$B:$B,Database!B99,'1.1 FY2024'!$F:$F)</f>
        <v>0</v>
      </c>
      <c r="G99" s="25">
        <f>-SUMIF('1.2 FY2025'!$B:$B,Database!B99,'1.2 FY2025'!$F:$F)</f>
        <v>0</v>
      </c>
      <c r="H99" s="25">
        <f>-SUMIF('1.3 FY2026'!$B:$B,Database!B99,'1.3 FY2026'!$F:$F)</f>
        <v>0</v>
      </c>
      <c r="I99" s="24" t="s">
        <v>219</v>
      </c>
      <c r="J99" s="24">
        <f>COUNTIF('P&amp;L Model'!$B$4:$B$24,Database!I99)</f>
        <v>1</v>
      </c>
    </row>
    <row r="100" spans="2:10" x14ac:dyDescent="0.3">
      <c r="B100" s="24" t="s">
        <v>201</v>
      </c>
      <c r="C100" s="24" t="s">
        <v>246</v>
      </c>
      <c r="D100" s="24" t="s">
        <v>246</v>
      </c>
      <c r="E100" s="24" t="s">
        <v>246</v>
      </c>
      <c r="F100" s="25">
        <f>-SUMIF('1.1 FY2024'!$B:$B,Database!B100,'1.1 FY2024'!$F:$F)</f>
        <v>0</v>
      </c>
      <c r="G100" s="25">
        <f>-SUMIF('1.2 FY2025'!$B:$B,Database!B100,'1.2 FY2025'!$F:$F)</f>
        <v>0</v>
      </c>
      <c r="H100" s="25">
        <f>-SUMIF('1.3 FY2026'!$B:$B,Database!B100,'1.3 FY2026'!$F:$F)</f>
        <v>1252.8369999999998</v>
      </c>
      <c r="I100" s="24" t="s">
        <v>219</v>
      </c>
      <c r="J100" s="24">
        <f>COUNTIF('P&amp;L Model'!$B$4:$B$24,Database!I100)</f>
        <v>1</v>
      </c>
    </row>
    <row r="101" spans="2:10" x14ac:dyDescent="0.3">
      <c r="B101" s="24" t="s">
        <v>202</v>
      </c>
      <c r="C101" s="24" t="s">
        <v>246</v>
      </c>
      <c r="D101" s="24" t="s">
        <v>246</v>
      </c>
      <c r="E101" s="24" t="s">
        <v>246</v>
      </c>
      <c r="F101" s="25">
        <f>-SUMIF('1.1 FY2024'!$B:$B,Database!B101,'1.1 FY2024'!$F:$F)</f>
        <v>0</v>
      </c>
      <c r="G101" s="25">
        <f>-SUMIF('1.2 FY2025'!$B:$B,Database!B101,'1.2 FY2025'!$F:$F)</f>
        <v>0</v>
      </c>
      <c r="H101" s="25">
        <f>-SUMIF('1.3 FY2026'!$B:$B,Database!B101,'1.3 FY2026'!$F:$F)</f>
        <v>0</v>
      </c>
      <c r="I101" s="24" t="s">
        <v>221</v>
      </c>
      <c r="J101" s="24">
        <f>COUNTIF('P&amp;L Model'!$B$4:$B$24,Database!I101)</f>
        <v>1</v>
      </c>
    </row>
    <row r="102" spans="2:10" x14ac:dyDescent="0.3">
      <c r="B102" s="24" t="s">
        <v>203</v>
      </c>
      <c r="C102" s="24" t="s">
        <v>246</v>
      </c>
      <c r="D102" s="24" t="s">
        <v>246</v>
      </c>
      <c r="E102" s="24" t="s">
        <v>246</v>
      </c>
      <c r="F102" s="25">
        <f>-SUMIF('1.1 FY2024'!$B:$B,Database!B102,'1.1 FY2024'!$F:$F)</f>
        <v>0</v>
      </c>
      <c r="G102" s="25">
        <f>-SUMIF('1.2 FY2025'!$B:$B,Database!B102,'1.2 FY2025'!$F:$F)</f>
        <v>0</v>
      </c>
      <c r="H102" s="25">
        <f>-SUMIF('1.3 FY2026'!$B:$B,Database!B102,'1.3 FY2026'!$F:$F)</f>
        <v>61499.999999999993</v>
      </c>
      <c r="I102" s="24" t="s">
        <v>219</v>
      </c>
      <c r="J102" s="24">
        <f>COUNTIF('P&amp;L Model'!$B$4:$B$24,Database!I102)</f>
        <v>1</v>
      </c>
    </row>
    <row r="103" spans="2:10" x14ac:dyDescent="0.3">
      <c r="B103" s="24" t="s">
        <v>205</v>
      </c>
      <c r="C103" s="24" t="s">
        <v>246</v>
      </c>
      <c r="D103" s="24" t="s">
        <v>246</v>
      </c>
      <c r="E103" s="24" t="s">
        <v>246</v>
      </c>
      <c r="F103" s="25">
        <f>-SUMIF('1.1 FY2024'!$B:$B,Database!B103,'1.1 FY2024'!$F:$F)</f>
        <v>0</v>
      </c>
      <c r="G103" s="25">
        <f>-SUMIF('1.2 FY2025'!$B:$B,Database!B103,'1.2 FY2025'!$F:$F)</f>
        <v>0</v>
      </c>
      <c r="H103" s="25">
        <f>-SUMIF('1.3 FY2026'!$B:$B,Database!B103,'1.3 FY2026'!$F:$F)</f>
        <v>30913.425999999996</v>
      </c>
      <c r="I103" s="24" t="s">
        <v>70</v>
      </c>
      <c r="J103" s="24">
        <f>COUNTIF('P&amp;L Model'!$B$4:$B$24,Database!I103)</f>
        <v>1</v>
      </c>
    </row>
    <row r="104" spans="2:10" x14ac:dyDescent="0.3">
      <c r="B104" s="24" t="s">
        <v>206</v>
      </c>
      <c r="C104" s="24" t="s">
        <v>246</v>
      </c>
      <c r="D104" s="24" t="s">
        <v>246</v>
      </c>
      <c r="E104" s="24" t="s">
        <v>246</v>
      </c>
      <c r="F104" s="25">
        <f>-SUMIF('1.1 FY2024'!$B:$B,Database!B104,'1.1 FY2024'!$F:$F)</f>
        <v>0</v>
      </c>
      <c r="G104" s="25">
        <f>-SUMIF('1.2 FY2025'!$B:$B,Database!B104,'1.2 FY2025'!$F:$F)</f>
        <v>0</v>
      </c>
      <c r="H104" s="25">
        <f>-SUMIF('1.3 FY2026'!$B:$B,Database!B104,'1.3 FY2026'!$F:$F)</f>
        <v>1423120</v>
      </c>
      <c r="I104" s="24" t="s">
        <v>222</v>
      </c>
      <c r="J104" s="24">
        <f>COUNTIF('P&amp;L Model'!$B$4:$B$24,Database!I104)</f>
        <v>1</v>
      </c>
    </row>
    <row r="105" spans="2:10" x14ac:dyDescent="0.3">
      <c r="B105" s="24" t="s">
        <v>207</v>
      </c>
      <c r="C105" s="24" t="s">
        <v>246</v>
      </c>
      <c r="D105" s="24" t="s">
        <v>246</v>
      </c>
      <c r="E105" s="24" t="s">
        <v>246</v>
      </c>
      <c r="F105" s="25">
        <f>-SUMIF('1.1 FY2024'!$B:$B,Database!B105,'1.1 FY2024'!$F:$F)</f>
        <v>0</v>
      </c>
      <c r="G105" s="25">
        <f>-SUMIF('1.2 FY2025'!$B:$B,Database!B105,'1.2 FY2025'!$F:$F)</f>
        <v>0</v>
      </c>
      <c r="H105" s="25">
        <f>-SUMIF('1.3 FY2026'!$B:$B,Database!B105,'1.3 FY2026'!$F:$F)</f>
        <v>-584.66</v>
      </c>
      <c r="I105" s="24" t="s">
        <v>219</v>
      </c>
      <c r="J105" s="24">
        <f>COUNTIF('P&amp;L Model'!$B$4:$B$24,Database!I105)</f>
        <v>1</v>
      </c>
    </row>
    <row r="106" spans="2:10" x14ac:dyDescent="0.3">
      <c r="B106" s="24" t="s">
        <v>208</v>
      </c>
      <c r="C106" s="24" t="s">
        <v>246</v>
      </c>
      <c r="D106" s="24" t="s">
        <v>246</v>
      </c>
      <c r="E106" s="24" t="s">
        <v>246</v>
      </c>
      <c r="F106" s="25">
        <f>-SUMIF('1.1 FY2024'!$B:$B,Database!B106,'1.1 FY2024'!$F:$F)</f>
        <v>0</v>
      </c>
      <c r="G106" s="25">
        <f>-SUMIF('1.2 FY2025'!$B:$B,Database!B106,'1.2 FY2025'!$F:$F)</f>
        <v>0</v>
      </c>
      <c r="H106" s="25">
        <f>-SUMIF('1.3 FY2026'!$B:$B,Database!B106,'1.3 FY2026'!$F:$F)</f>
        <v>-1352.9999999999998</v>
      </c>
      <c r="I106" s="24" t="s">
        <v>219</v>
      </c>
      <c r="J106" s="24">
        <f>COUNTIF('P&amp;L Model'!$B$4:$B$24,Database!I106)</f>
        <v>1</v>
      </c>
    </row>
    <row r="107" spans="2:10" x14ac:dyDescent="0.3">
      <c r="B107" s="24" t="s">
        <v>210</v>
      </c>
      <c r="C107" s="24" t="s">
        <v>246</v>
      </c>
      <c r="D107" s="24" t="s">
        <v>246</v>
      </c>
      <c r="E107" s="24" t="s">
        <v>246</v>
      </c>
      <c r="F107" s="25">
        <f>-SUMIF('1.1 FY2024'!$B:$B,Database!B107,'1.1 FY2024'!$F:$F)</f>
        <v>0</v>
      </c>
      <c r="G107" s="25">
        <f>-SUMIF('1.2 FY2025'!$B:$B,Database!B107,'1.2 FY2025'!$F:$F)</f>
        <v>0</v>
      </c>
      <c r="H107" s="25">
        <f>-SUMIF('1.3 FY2026'!$B:$B,Database!B107,'1.3 FY2026'!$F:$F)</f>
        <v>0</v>
      </c>
      <c r="I107" s="24"/>
      <c r="J107" s="24">
        <f>COUNTIF('P&amp;L Model'!$B$4:$B$24,Database!I107)</f>
        <v>0</v>
      </c>
    </row>
    <row r="108" spans="2:10" x14ac:dyDescent="0.3">
      <c r="B108" s="24" t="s">
        <v>211</v>
      </c>
      <c r="C108" s="24" t="s">
        <v>246</v>
      </c>
      <c r="D108" s="24" t="s">
        <v>246</v>
      </c>
      <c r="E108" s="24" t="s">
        <v>246</v>
      </c>
      <c r="F108" s="25">
        <f>-SUMIF('1.1 FY2024'!$B:$B,Database!B108,'1.1 FY2024'!$F:$F)</f>
        <v>0</v>
      </c>
      <c r="G108" s="25">
        <f>-SUMIF('1.2 FY2025'!$B:$B,Database!B108,'1.2 FY2025'!$F:$F)</f>
        <v>0</v>
      </c>
      <c r="H108" s="25">
        <f>-SUMIF('1.3 FY2026'!$B:$B,Database!B108,'1.3 FY2026'!$F:$F)</f>
        <v>0</v>
      </c>
      <c r="I108" s="24"/>
      <c r="J108" s="24">
        <f>COUNTIF('P&amp;L Model'!$B$4:$B$24,Database!I108)</f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59783-15C6-4554-9D47-7D2306E36704}">
  <sheetPr>
    <tabColor rgb="FF002060"/>
  </sheetPr>
  <dimension ref="B1:H35"/>
  <sheetViews>
    <sheetView topLeftCell="A6" workbookViewId="0"/>
  </sheetViews>
  <sheetFormatPr defaultColWidth="8.88671875" defaultRowHeight="15.6" outlineLevelRow="1" x14ac:dyDescent="0.3"/>
  <cols>
    <col min="1" max="1" width="4.21875" style="17" customWidth="1"/>
    <col min="2" max="2" width="25.6640625" style="17" bestFit="1" customWidth="1"/>
    <col min="3" max="3" width="14.6640625" style="17" bestFit="1" customWidth="1"/>
    <col min="4" max="5" width="8.88671875" style="17"/>
    <col min="6" max="6" width="2" style="17" customWidth="1"/>
    <col min="7" max="7" width="10" style="17" bestFit="1" customWidth="1"/>
    <col min="8" max="8" width="9" style="17" bestFit="1" customWidth="1"/>
    <col min="9" max="16384" width="8.88671875" style="17"/>
  </cols>
  <sheetData>
    <row r="1" spans="2:8" ht="21" x14ac:dyDescent="0.4">
      <c r="B1" s="35" t="s">
        <v>230</v>
      </c>
    </row>
    <row r="3" spans="2:8" ht="49.2" thickBot="1" x14ac:dyDescent="0.35">
      <c r="B3" s="57" t="s">
        <v>231</v>
      </c>
      <c r="C3" s="52" t="s">
        <v>214</v>
      </c>
      <c r="D3" s="52" t="s">
        <v>215</v>
      </c>
      <c r="E3" s="52" t="s">
        <v>216</v>
      </c>
      <c r="F3" s="54"/>
      <c r="G3" s="56" t="s">
        <v>232</v>
      </c>
      <c r="H3" s="56" t="s">
        <v>233</v>
      </c>
    </row>
    <row r="4" spans="2:8" x14ac:dyDescent="0.3">
      <c r="B4" s="17" t="s">
        <v>218</v>
      </c>
      <c r="C4" s="26">
        <f>SUMIF(Database!$I:$I,'P&amp;L Model'!B4,Database!$F:$F)/1000000</f>
        <v>14.500341000000001</v>
      </c>
      <c r="D4" s="26">
        <f>SUMIF(Database!$I:$I,'P&amp;L Model'!B4,Database!$G:$G)/1000000</f>
        <v>16.148295364999999</v>
      </c>
      <c r="E4" s="26">
        <f>SUMIF(Database!$I:$I,'P&amp;L Model'!B4,Database!$H:$H)/1000000</f>
        <v>15.047803019</v>
      </c>
      <c r="G4" s="37">
        <f>(D4-C4)/C4*100</f>
        <v>11.364935245315944</v>
      </c>
      <c r="H4" s="37">
        <f>(E4-D4)/D4*100</f>
        <v>-6.8149134080444123</v>
      </c>
    </row>
    <row r="5" spans="2:8" x14ac:dyDescent="0.3">
      <c r="B5" s="17" t="s">
        <v>24</v>
      </c>
      <c r="C5" s="26">
        <f>SUMIF(Database!$I:$I,'P&amp;L Model'!B5,Database!$F:$F)/1000000</f>
        <v>4.7948561920000001</v>
      </c>
      <c r="D5" s="26">
        <f>SUMIF(Database!$I:$I,'P&amp;L Model'!B5,Database!$G:$G)/1000000</f>
        <v>6.9602176449999993</v>
      </c>
      <c r="E5" s="26">
        <f>SUMIF(Database!$I:$I,'P&amp;L Model'!B5,Database!$H:$H)/1000000</f>
        <v>6.3736175140000002</v>
      </c>
      <c r="G5" s="37">
        <f t="shared" ref="G5:H6" si="0">(D5-C5)/C5*100</f>
        <v>45.160091696030555</v>
      </c>
      <c r="H5" s="37">
        <f t="shared" si="0"/>
        <v>-8.4278992542911944</v>
      </c>
    </row>
    <row r="6" spans="2:8" x14ac:dyDescent="0.3">
      <c r="B6" s="59" t="s">
        <v>221</v>
      </c>
      <c r="C6" s="36">
        <f>SUMIF(Database!$I:$I,'P&amp;L Model'!B6,Database!$F:$F)/1000000</f>
        <v>3.2200542519999997</v>
      </c>
      <c r="D6" s="36">
        <f>SUMIF(Database!$I:$I,'P&amp;L Model'!B6,Database!$G:$G)/1000000</f>
        <v>2.9240919949999999</v>
      </c>
      <c r="E6" s="36">
        <f>SUMIF(Database!$I:$I,'P&amp;L Model'!B6,Database!$H:$H)/1000000</f>
        <v>4.8931777299999997</v>
      </c>
      <c r="F6" s="59"/>
      <c r="G6" s="27">
        <f t="shared" si="0"/>
        <v>-9.1912195832158865</v>
      </c>
      <c r="H6" s="27">
        <f t="shared" si="0"/>
        <v>67.340074743441846</v>
      </c>
    </row>
    <row r="7" spans="2:8" ht="16.2" x14ac:dyDescent="0.35">
      <c r="B7" s="55" t="s">
        <v>234</v>
      </c>
      <c r="C7" s="39">
        <f>SUM(C4:C6)</f>
        <v>22.515251444</v>
      </c>
      <c r="D7" s="39">
        <f t="shared" ref="D7:E7" si="1">SUM(D4:D6)</f>
        <v>26.032605005000001</v>
      </c>
      <c r="E7" s="39">
        <f t="shared" si="1"/>
        <v>26.314598263000001</v>
      </c>
      <c r="F7" s="55"/>
      <c r="G7" s="38">
        <f>(D7-C7)/C7*100</f>
        <v>15.622093183140203</v>
      </c>
      <c r="H7" s="38">
        <f>(E7-D7)/D7*100</f>
        <v>1.0832310402506335</v>
      </c>
    </row>
    <row r="8" spans="2:8" ht="16.2" x14ac:dyDescent="0.35">
      <c r="B8" s="60" t="s">
        <v>35</v>
      </c>
      <c r="C8" s="40">
        <f>SUMIF(Database!$I:$I,'P&amp;L Model'!B8,Database!$F:$F)/1000000</f>
        <v>-4.4289117640000004</v>
      </c>
      <c r="D8" s="40">
        <f>SUMIF(Database!$I:$I,'P&amp;L Model'!B8,Database!$G:$G)/1000000</f>
        <v>-5.4631888250000005</v>
      </c>
      <c r="E8" s="40">
        <f>SUMIF(Database!$I:$I,'P&amp;L Model'!B8,Database!$H:$H)/1000000</f>
        <v>-5.6741520669999996</v>
      </c>
      <c r="F8" s="60"/>
      <c r="G8" s="28">
        <f>(D8-C8)/C8*100</f>
        <v>23.352848647991262</v>
      </c>
      <c r="H8" s="28">
        <f>(E8-D8)/D8*100</f>
        <v>3.8615403706094518</v>
      </c>
    </row>
    <row r="9" spans="2:8" x14ac:dyDescent="0.3">
      <c r="B9" s="17" t="s">
        <v>235</v>
      </c>
      <c r="C9" s="26">
        <f>SUM(C7:C8)</f>
        <v>18.086339680000002</v>
      </c>
      <c r="D9" s="26">
        <f t="shared" ref="D9:E9" si="2">SUM(D7:D8)</f>
        <v>20.569416180000001</v>
      </c>
      <c r="E9" s="26">
        <f t="shared" si="2"/>
        <v>20.640446195999999</v>
      </c>
      <c r="G9" s="37">
        <f t="shared" ref="G9:H24" si="3">(D9-C9)/C9*100</f>
        <v>13.729016174266606</v>
      </c>
      <c r="H9" s="37">
        <f t="shared" si="3"/>
        <v>0.34531858064625992</v>
      </c>
    </row>
    <row r="10" spans="2:8" x14ac:dyDescent="0.3">
      <c r="B10" s="17" t="s">
        <v>219</v>
      </c>
      <c r="C10" s="26">
        <f>SUMIF(Database!$I:$I,'P&amp;L Model'!B10,Database!$F:$F)/1000000</f>
        <v>-3.3966489799999997</v>
      </c>
      <c r="D10" s="26">
        <f>SUMIF(Database!$I:$I,'P&amp;L Model'!B10,Database!$G:$G)/1000000</f>
        <v>-3.7048433449999996</v>
      </c>
      <c r="E10" s="26">
        <f>SUMIF(Database!$I:$I,'P&amp;L Model'!B10,Database!$H:$H)/1000000</f>
        <v>-6.6874830379999999</v>
      </c>
      <c r="G10" s="37">
        <f t="shared" si="3"/>
        <v>9.073482918449816</v>
      </c>
      <c r="H10" s="37">
        <f t="shared" si="3"/>
        <v>80.50649960747532</v>
      </c>
    </row>
    <row r="11" spans="2:8" x14ac:dyDescent="0.3">
      <c r="B11" s="17" t="s">
        <v>220</v>
      </c>
      <c r="C11" s="26">
        <f>SUMIF(Database!$I:$I,'P&amp;L Model'!B11,Database!$F:$F)/1000000</f>
        <v>-6.17073904</v>
      </c>
      <c r="D11" s="26">
        <f>SUMIF(Database!$I:$I,'P&amp;L Model'!B11,Database!$G:$G)/1000000</f>
        <v>-8.0718589449999989</v>
      </c>
      <c r="E11" s="26">
        <f>SUMIF(Database!$I:$I,'P&amp;L Model'!B11,Database!$H:$H)/1000000</f>
        <v>-5.8358881759999992</v>
      </c>
      <c r="G11" s="37">
        <f t="shared" si="3"/>
        <v>30.80862588219253</v>
      </c>
      <c r="H11" s="37">
        <f t="shared" si="3"/>
        <v>-27.700815688622022</v>
      </c>
    </row>
    <row r="12" spans="2:8" x14ac:dyDescent="0.3">
      <c r="B12" s="17" t="s">
        <v>222</v>
      </c>
      <c r="C12" s="26">
        <f>SUMIF(Database!$I:$I,'P&amp;L Model'!B12,Database!$F:$F)/1000000</f>
        <v>-1.127445872</v>
      </c>
      <c r="D12" s="26">
        <f>SUMIF(Database!$I:$I,'P&amp;L Model'!B12,Database!$G:$G)/1000000</f>
        <v>-1.0553814750000001</v>
      </c>
      <c r="E12" s="26">
        <f>SUMIF(Database!$I:$I,'P&amp;L Model'!B12,Database!$H:$H)/1000000</f>
        <v>1.596053449</v>
      </c>
      <c r="G12" s="37">
        <f t="shared" si="3"/>
        <v>-6.3918276513056318</v>
      </c>
      <c r="H12" s="37">
        <f t="shared" si="3"/>
        <v>-251.2300042029826</v>
      </c>
    </row>
    <row r="13" spans="2:8" x14ac:dyDescent="0.3">
      <c r="B13" s="17" t="s">
        <v>223</v>
      </c>
      <c r="C13" s="26">
        <f>SUMIF(Database!$I:$I,'P&amp;L Model'!B13,Database!$F:$F)/1000000</f>
        <v>-2.5430882079999995</v>
      </c>
      <c r="D13" s="26">
        <f>SUMIF(Database!$I:$I,'P&amp;L Model'!B13,Database!$G:$G)/1000000</f>
        <v>-1.837786345</v>
      </c>
      <c r="E13" s="26">
        <f>SUMIF(Database!$I:$I,'P&amp;L Model'!B13,Database!$H:$H)/1000000</f>
        <v>-1.9549839309999999</v>
      </c>
      <c r="G13" s="37">
        <f t="shared" si="3"/>
        <v>-27.734069969782173</v>
      </c>
      <c r="H13" s="37">
        <f t="shared" si="3"/>
        <v>6.3771061483210589</v>
      </c>
    </row>
    <row r="14" spans="2:8" x14ac:dyDescent="0.3">
      <c r="B14" s="17" t="s">
        <v>224</v>
      </c>
      <c r="C14" s="26">
        <f>SUMIF(Database!$I:$I,'P&amp;L Model'!B14,Database!$F:$F)/1000000</f>
        <v>-1.8135250039999999</v>
      </c>
      <c r="D14" s="26">
        <f>SUMIF(Database!$I:$I,'P&amp;L Model'!B14,Database!$G:$G)/1000000</f>
        <v>-2.3932591899999998</v>
      </c>
      <c r="E14" s="26">
        <f>SUMIF(Database!$I:$I,'P&amp;L Model'!B14,Database!$H:$H)/1000000</f>
        <v>-2.5144318869999998</v>
      </c>
      <c r="G14" s="37">
        <f t="shared" si="3"/>
        <v>31.967256294857233</v>
      </c>
      <c r="H14" s="37">
        <f t="shared" si="3"/>
        <v>5.0630829082912667</v>
      </c>
    </row>
    <row r="15" spans="2:8" x14ac:dyDescent="0.3">
      <c r="B15" s="17" t="s">
        <v>70</v>
      </c>
      <c r="C15" s="26">
        <f>SUMIF(Database!$I:$I,'P&amp;L Model'!B15,Database!$F:$F)/1000000</f>
        <v>5.7221999999999995E-5</v>
      </c>
      <c r="D15" s="26">
        <f>SUMIF(Database!$I:$I,'P&amp;L Model'!B15,Database!$G:$G)/1000000</f>
        <v>-7.3574899999999995E-3</v>
      </c>
      <c r="E15" s="26">
        <f>SUMIF(Database!$I:$I,'P&amp;L Model'!B15,Database!$H:$H)/1000000</f>
        <v>4.678542799999999E-2</v>
      </c>
      <c r="G15" s="37">
        <f t="shared" si="3"/>
        <v>-12957.799447764844</v>
      </c>
      <c r="H15" s="37">
        <f t="shared" si="3"/>
        <v>-735.88843477870842</v>
      </c>
    </row>
    <row r="16" spans="2:8" x14ac:dyDescent="0.3">
      <c r="B16" s="17" t="s">
        <v>26</v>
      </c>
      <c r="C16" s="26">
        <f>SUMIF(Database!$I:$I,'P&amp;L Model'!B16,Database!$F:$F)/1000000</f>
        <v>5.2683321979999995</v>
      </c>
      <c r="D16" s="26">
        <f>SUMIF(Database!$I:$I,'P&amp;L Model'!B16,Database!$G:$G)/1000000</f>
        <v>0.74482694999999999</v>
      </c>
      <c r="E16" s="26">
        <f>SUMIF(Database!$I:$I,'P&amp;L Model'!B16,Database!$H:$H)/1000000</f>
        <v>0</v>
      </c>
      <c r="G16" s="37">
        <f t="shared" si="3"/>
        <v>-85.862187082986978</v>
      </c>
      <c r="H16" s="37">
        <f t="shared" si="3"/>
        <v>-100</v>
      </c>
    </row>
    <row r="17" spans="2:8" ht="16.2" x14ac:dyDescent="0.35">
      <c r="B17" s="58" t="s">
        <v>236</v>
      </c>
      <c r="C17" s="41">
        <f>SUM(C9:C16)</f>
        <v>8.3032819960000026</v>
      </c>
      <c r="D17" s="41">
        <f t="shared" ref="D17:E17" si="4">SUM(D9:D16)</f>
        <v>4.2437563400000018</v>
      </c>
      <c r="E17" s="41">
        <f t="shared" si="4"/>
        <v>5.2904980409999993</v>
      </c>
      <c r="F17" s="55"/>
      <c r="G17" s="38">
        <f t="shared" si="3"/>
        <v>-48.890615276653548</v>
      </c>
      <c r="H17" s="38">
        <f t="shared" si="3"/>
        <v>24.665452423217989</v>
      </c>
    </row>
    <row r="18" spans="2:8" x14ac:dyDescent="0.3">
      <c r="B18" s="59" t="s">
        <v>50</v>
      </c>
      <c r="C18" s="36">
        <f>SUMIF(Database!$I:$I,'P&amp;L Model'!B18,Database!$F:$F)/1000000</f>
        <v>-2.045243514</v>
      </c>
      <c r="D18" s="36">
        <f>SUMIF(Database!$I:$I,'P&amp;L Model'!B18,Database!$G:$G)/1000000</f>
        <v>-2.0440058150000002</v>
      </c>
      <c r="E18" s="36">
        <f>SUMIF(Database!$I:$I,'P&amp;L Model'!B18,Database!$H:$H)/1000000</f>
        <v>-1.8883615140000001</v>
      </c>
      <c r="F18" s="59"/>
      <c r="G18" s="27">
        <f>(D18-C18)/C18*100</f>
        <v>-6.0515972378231649E-2</v>
      </c>
      <c r="H18" s="27">
        <f t="shared" si="3"/>
        <v>-7.6146701666795478</v>
      </c>
    </row>
    <row r="19" spans="2:8" ht="16.2" x14ac:dyDescent="0.35">
      <c r="B19" s="55" t="s">
        <v>237</v>
      </c>
      <c r="C19" s="39">
        <f>SUM(C17:C18)</f>
        <v>6.2580384820000026</v>
      </c>
      <c r="D19" s="39">
        <f t="shared" ref="D19:E19" si="5">SUM(D17:D18)</f>
        <v>2.1997505250000016</v>
      </c>
      <c r="E19" s="39">
        <f t="shared" si="5"/>
        <v>3.4021365269999992</v>
      </c>
      <c r="F19" s="55"/>
      <c r="G19" s="38">
        <f t="shared" si="3"/>
        <v>-64.849201050342771</v>
      </c>
      <c r="H19" s="38">
        <f t="shared" si="3"/>
        <v>54.660107513782584</v>
      </c>
    </row>
    <row r="20" spans="2:8" x14ac:dyDescent="0.3">
      <c r="B20" s="17" t="s">
        <v>225</v>
      </c>
      <c r="C20" s="26">
        <f>SUMIF(Database!$I:$I,'P&amp;L Model'!B20,Database!$F:$F)/1000000</f>
        <v>-2.8426923660000001</v>
      </c>
      <c r="D20" s="26">
        <f>SUMIF(Database!$I:$I,'P&amp;L Model'!B20,Database!$G:$G)/1000000</f>
        <v>-2.7107469200000001</v>
      </c>
      <c r="E20" s="26">
        <f>SUMIF(Database!$I:$I,'P&amp;L Model'!B20,Database!$H:$H)/1000000</f>
        <v>-2.250707829</v>
      </c>
      <c r="G20" s="37">
        <f t="shared" si="3"/>
        <v>-4.6415661285805143</v>
      </c>
      <c r="H20" s="37">
        <f t="shared" si="3"/>
        <v>-16.970934748862504</v>
      </c>
    </row>
    <row r="21" spans="2:8" x14ac:dyDescent="0.3">
      <c r="B21" s="59" t="s">
        <v>226</v>
      </c>
      <c r="C21" s="36">
        <f>SUMIF(Database!$I:$I,'P&amp;L Model'!B21,Database!$F:$F)/1000000</f>
        <v>-2.2762999999999999E-2</v>
      </c>
      <c r="D21" s="36">
        <f>SUMIF(Database!$I:$I,'P&amp;L Model'!B21,Database!$G:$G)/1000000</f>
        <v>-4.5786198000000002</v>
      </c>
      <c r="E21" s="36">
        <f>SUMIF(Database!$I:$I,'P&amp;L Model'!B21,Database!$H:$H)/1000000</f>
        <v>-7.1731959999999989E-3</v>
      </c>
      <c r="F21" s="59"/>
      <c r="G21" s="27">
        <f t="shared" si="3"/>
        <v>20014.307428722048</v>
      </c>
      <c r="H21" s="27">
        <f t="shared" si="3"/>
        <v>-99.843332787754065</v>
      </c>
    </row>
    <row r="22" spans="2:8" ht="16.2" x14ac:dyDescent="0.35">
      <c r="B22" s="55" t="s">
        <v>238</v>
      </c>
      <c r="C22" s="39">
        <f>SUM(C19:C21)</f>
        <v>3.3925831160000026</v>
      </c>
      <c r="D22" s="39">
        <f t="shared" ref="D22:E22" si="6">SUM(D19:D21)</f>
        <v>-5.0896161949999987</v>
      </c>
      <c r="E22" s="39">
        <f t="shared" si="6"/>
        <v>1.1442555019999991</v>
      </c>
      <c r="F22" s="55"/>
      <c r="G22" s="38">
        <f t="shared" si="3"/>
        <v>-250.02185712109744</v>
      </c>
      <c r="H22" s="38">
        <f t="shared" si="3"/>
        <v>-122.48215696743709</v>
      </c>
    </row>
    <row r="23" spans="2:8" x14ac:dyDescent="0.3">
      <c r="B23" s="59" t="s">
        <v>227</v>
      </c>
      <c r="C23" s="36">
        <f>SUMIF(Database!$I:$I,'P&amp;L Model'!B23,Database!$F:$F)/1000000</f>
        <v>-0.48846512199999997</v>
      </c>
      <c r="D23" s="36">
        <f>SUMIF(Database!$I:$I,'P&amp;L Model'!B23,Database!$G:$G)/1000000</f>
        <v>-0.98419196500000017</v>
      </c>
      <c r="E23" s="36">
        <f>SUMIF(Database!$I:$I,'P&amp;L Model'!B23,Database!$H:$H)/1000000</f>
        <v>-0.36496502599999997</v>
      </c>
      <c r="F23" s="59"/>
      <c r="G23" s="27">
        <f t="shared" si="3"/>
        <v>101.48664063674954</v>
      </c>
      <c r="H23" s="27">
        <f t="shared" si="3"/>
        <v>-62.917292664546409</v>
      </c>
    </row>
    <row r="24" spans="2:8" ht="16.8" thickBot="1" x14ac:dyDescent="0.4">
      <c r="B24" s="61" t="s">
        <v>228</v>
      </c>
      <c r="C24" s="29">
        <f>SUMIF(Database!$I:$I,'P&amp;L Model'!B24,Database!$F:$F)/1000000</f>
        <v>2.9041179939999986</v>
      </c>
      <c r="D24" s="29">
        <f>SUMIF(Database!$I:$I,'P&amp;L Model'!B24,Database!$G:$G)/1000000</f>
        <v>-6.0738081600000005</v>
      </c>
      <c r="E24" s="29">
        <f>SUMIF(Database!$I:$I,'P&amp;L Model'!B24,Database!$H:$H)/1000000</f>
        <v>0.77929047600000001</v>
      </c>
      <c r="F24" s="61"/>
      <c r="G24" s="30">
        <f t="shared" si="3"/>
        <v>-309.14467568289871</v>
      </c>
      <c r="H24" s="30">
        <f>(E24-D24)/D24*100</f>
        <v>-112.83034392050999</v>
      </c>
    </row>
    <row r="25" spans="2:8" x14ac:dyDescent="0.3">
      <c r="C25" s="26"/>
      <c r="D25" s="26"/>
      <c r="E25" s="26"/>
    </row>
    <row r="26" spans="2:8" ht="16.2" x14ac:dyDescent="0.35">
      <c r="B26" s="31" t="s">
        <v>239</v>
      </c>
      <c r="C26" s="32"/>
      <c r="D26" s="32"/>
      <c r="E26" s="32"/>
    </row>
    <row r="27" spans="2:8" ht="16.2" x14ac:dyDescent="0.35">
      <c r="B27" s="31" t="s">
        <v>240</v>
      </c>
      <c r="C27" s="33">
        <f>C9/C7</f>
        <v>0.80329281353949789</v>
      </c>
      <c r="D27" s="33">
        <f t="shared" ref="D27:E27" si="7">D9/D7</f>
        <v>0.79014052477841912</v>
      </c>
      <c r="E27" s="33">
        <f t="shared" si="7"/>
        <v>0.78437246085651935</v>
      </c>
    </row>
    <row r="28" spans="2:8" ht="16.2" x14ac:dyDescent="0.35">
      <c r="B28" s="31" t="s">
        <v>241</v>
      </c>
      <c r="C28" s="33">
        <f>C17/C7</f>
        <v>0.36878477758296191</v>
      </c>
      <c r="D28" s="33">
        <f t="shared" ref="D28:E28" si="8">D17/D7</f>
        <v>0.16301696811306118</v>
      </c>
      <c r="E28" s="33">
        <f t="shared" si="8"/>
        <v>0.20104802619916018</v>
      </c>
    </row>
    <row r="29" spans="2:8" ht="16.2" x14ac:dyDescent="0.35">
      <c r="B29" s="31" t="s">
        <v>242</v>
      </c>
      <c r="C29" s="33">
        <f>C19/C7</f>
        <v>0.2779466397506159</v>
      </c>
      <c r="D29" s="33">
        <f t="shared" ref="D29:E29" si="9">D19/D7</f>
        <v>8.4499823378317393E-2</v>
      </c>
      <c r="E29" s="33">
        <f t="shared" si="9"/>
        <v>0.12928704033394345</v>
      </c>
      <c r="F29" s="53"/>
    </row>
    <row r="30" spans="2:8" hidden="1" outlineLevel="1" x14ac:dyDescent="0.3">
      <c r="B30" s="26" t="s">
        <v>243</v>
      </c>
      <c r="C30" s="26" t="e">
        <f>SUMIF('[1]2.1 Database'!$J:$J,'[1]2.2 P&amp;L statement'!$B30,'[1]2.1 Database'!F:F)/1000000</f>
        <v>#VALUE!</v>
      </c>
      <c r="D30" s="26" t="e">
        <f>SUMIF('[1]2.1 Database'!$J:$J,'[1]2.2 P&amp;L statement'!$B30,'[1]2.1 Database'!G:G)/1000000</f>
        <v>#VALUE!</v>
      </c>
      <c r="E30" s="26" t="e">
        <f>SUMIF('[1]2.1 Database'!$J:$J,'[1]2.2 P&amp;L statement'!$B30,'[1]2.1 Database'!H:H)/1000000</f>
        <v>#VALUE!</v>
      </c>
    </row>
    <row r="31" spans="2:8" hidden="1" outlineLevel="1" x14ac:dyDescent="0.3">
      <c r="B31" s="34" t="s">
        <v>244</v>
      </c>
      <c r="C31" s="34" t="e">
        <f>ROUND(C24+C30,9)</f>
        <v>#VALUE!</v>
      </c>
      <c r="D31" s="34" t="e">
        <f>D24+D30</f>
        <v>#VALUE!</v>
      </c>
      <c r="E31" s="34" t="e">
        <f>E24+E30</f>
        <v>#VALUE!</v>
      </c>
    </row>
    <row r="32" spans="2:8" collapsed="1" x14ac:dyDescent="0.3">
      <c r="B32" s="26"/>
      <c r="C32" s="26"/>
      <c r="D32" s="26"/>
      <c r="E32" s="26"/>
    </row>
    <row r="33" spans="2:5" x14ac:dyDescent="0.3">
      <c r="B33" s="26"/>
      <c r="C33" s="26"/>
      <c r="D33" s="26"/>
      <c r="E33" s="26"/>
    </row>
    <row r="34" spans="2:5" x14ac:dyDescent="0.3">
      <c r="B34" s="26"/>
      <c r="C34" s="26"/>
      <c r="D34" s="26"/>
      <c r="E34" s="26"/>
    </row>
    <row r="35" spans="2:5" x14ac:dyDescent="0.3">
      <c r="C35" s="26"/>
      <c r="D35" s="26"/>
      <c r="E35" s="2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708AA-DEED-4303-BE1D-904CFDFE62BA}">
  <sheetPr>
    <tabColor rgb="FF002060"/>
  </sheetPr>
  <dimension ref="B13"/>
  <sheetViews>
    <sheetView showGridLines="0" topLeftCell="A7" workbookViewId="0">
      <selection activeCell="O24" sqref="O24"/>
    </sheetView>
  </sheetViews>
  <sheetFormatPr defaultRowHeight="14.4" x14ac:dyDescent="0.3"/>
  <sheetData>
    <row r="13" spans="2:2" ht="61.8" x14ac:dyDescent="1.1499999999999999">
      <c r="B13" s="62" t="s">
        <v>256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AAA0E-08D6-484F-9909-412924AB4700}">
  <dimension ref="B1:E7"/>
  <sheetViews>
    <sheetView workbookViewId="0"/>
  </sheetViews>
  <sheetFormatPr defaultRowHeight="14.4" x14ac:dyDescent="0.3"/>
  <cols>
    <col min="1" max="1" width="5.6640625" style="42" customWidth="1"/>
    <col min="2" max="2" width="15.88671875" style="42" bestFit="1" customWidth="1"/>
    <col min="3" max="16384" width="8.88671875" style="42"/>
  </cols>
  <sheetData>
    <row r="1" spans="2:5" ht="18" x14ac:dyDescent="0.35">
      <c r="B1" s="43" t="s">
        <v>247</v>
      </c>
    </row>
    <row r="3" spans="2:5" ht="15" thickBot="1" x14ac:dyDescent="0.35">
      <c r="B3" s="45"/>
      <c r="C3" s="46" t="s">
        <v>214</v>
      </c>
      <c r="D3" s="46" t="s">
        <v>215</v>
      </c>
      <c r="E3" s="46" t="s">
        <v>216</v>
      </c>
    </row>
    <row r="4" spans="2:5" ht="15.6" x14ac:dyDescent="0.3">
      <c r="B4" s="17" t="s">
        <v>218</v>
      </c>
      <c r="C4" s="48">
        <f>'P&amp;L Model'!C4</f>
        <v>14.500341000000001</v>
      </c>
      <c r="D4" s="48">
        <f>'P&amp;L Model'!D4</f>
        <v>16.148295364999999</v>
      </c>
      <c r="E4" s="48">
        <f>'P&amp;L Model'!E4</f>
        <v>15.047803019</v>
      </c>
    </row>
    <row r="5" spans="2:5" ht="15.6" x14ac:dyDescent="0.3">
      <c r="B5" s="17" t="s">
        <v>24</v>
      </c>
      <c r="C5" s="48">
        <f>'P&amp;L Model'!C5</f>
        <v>4.7948561920000001</v>
      </c>
      <c r="D5" s="48">
        <f>'P&amp;L Model'!D5</f>
        <v>6.9602176449999993</v>
      </c>
      <c r="E5" s="48">
        <f>'P&amp;L Model'!E5</f>
        <v>6.3736175140000002</v>
      </c>
    </row>
    <row r="6" spans="2:5" ht="15.6" x14ac:dyDescent="0.3">
      <c r="B6" s="17" t="s">
        <v>221</v>
      </c>
      <c r="C6" s="48">
        <f>'P&amp;L Model'!C6</f>
        <v>3.2200542519999997</v>
      </c>
      <c r="D6" s="48">
        <f>'P&amp;L Model'!D6</f>
        <v>2.9240919949999999</v>
      </c>
      <c r="E6" s="48">
        <f>'P&amp;L Model'!E6</f>
        <v>4.8931777299999997</v>
      </c>
    </row>
    <row r="7" spans="2:5" ht="15.6" x14ac:dyDescent="0.3">
      <c r="B7" s="17" t="s">
        <v>248</v>
      </c>
      <c r="C7" s="47">
        <f>'P&amp;L Model'!C27</f>
        <v>0.80329281353949789</v>
      </c>
      <c r="D7" s="47">
        <f>'P&amp;L Model'!D27</f>
        <v>0.79014052477841912</v>
      </c>
      <c r="E7" s="47">
        <f>'P&amp;L Model'!E27</f>
        <v>0.78437246085651935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07AD5-A267-46F9-A299-F3ED24F30E7F}">
  <dimension ref="B1:E6"/>
  <sheetViews>
    <sheetView workbookViewId="0"/>
  </sheetViews>
  <sheetFormatPr defaultRowHeight="14.4" x14ac:dyDescent="0.3"/>
  <cols>
    <col min="1" max="1" width="4.44140625" style="42" customWidth="1"/>
    <col min="2" max="2" width="17.6640625" style="42" bestFit="1" customWidth="1"/>
    <col min="3" max="16384" width="8.88671875" style="42"/>
  </cols>
  <sheetData>
    <row r="1" spans="2:5" ht="15.6" x14ac:dyDescent="0.3">
      <c r="B1" s="49" t="s">
        <v>249</v>
      </c>
    </row>
    <row r="3" spans="2:5" ht="15" thickBot="1" x14ac:dyDescent="0.35">
      <c r="B3" s="45"/>
      <c r="C3" s="46" t="s">
        <v>13</v>
      </c>
      <c r="D3" s="46" t="s">
        <v>128</v>
      </c>
      <c r="E3" s="46" t="s">
        <v>190</v>
      </c>
    </row>
    <row r="4" spans="2:5" ht="15.6" x14ac:dyDescent="0.3">
      <c r="B4" s="17" t="s">
        <v>218</v>
      </c>
      <c r="C4" s="48">
        <f>'P&amp;L Model'!C4</f>
        <v>14.500341000000001</v>
      </c>
      <c r="D4" s="48">
        <f>'P&amp;L Model'!D4</f>
        <v>16.148295364999999</v>
      </c>
      <c r="E4" s="48">
        <f>'P&amp;L Model'!E4</f>
        <v>15.047803019</v>
      </c>
    </row>
    <row r="5" spans="2:5" ht="15.6" x14ac:dyDescent="0.3">
      <c r="B5" s="17" t="s">
        <v>24</v>
      </c>
      <c r="C5" s="48">
        <f>'P&amp;L Model'!C5</f>
        <v>4.7948561920000001</v>
      </c>
      <c r="D5" s="48">
        <f>'P&amp;L Model'!D5</f>
        <v>6.9602176449999993</v>
      </c>
      <c r="E5" s="48">
        <f>'P&amp;L Model'!E5</f>
        <v>6.3736175140000002</v>
      </c>
    </row>
    <row r="6" spans="2:5" ht="15.6" x14ac:dyDescent="0.3">
      <c r="B6" s="17" t="s">
        <v>221</v>
      </c>
      <c r="C6" s="48">
        <f>'P&amp;L Model'!C6</f>
        <v>3.2200542519999997</v>
      </c>
      <c r="D6" s="48">
        <f>'P&amp;L Model'!D6</f>
        <v>2.9240919949999999</v>
      </c>
      <c r="E6" s="48">
        <f>'P&amp;L Model'!E6</f>
        <v>4.8931777299999997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00913-A0E0-4F1E-BE17-FE29883AAB7E}">
  <dimension ref="B1:C8"/>
  <sheetViews>
    <sheetView workbookViewId="0">
      <selection activeCell="T16" sqref="T16"/>
    </sheetView>
  </sheetViews>
  <sheetFormatPr defaultRowHeight="14.4" x14ac:dyDescent="0.3"/>
  <cols>
    <col min="1" max="1" width="6.109375" style="42" customWidth="1"/>
    <col min="2" max="2" width="20.77734375" style="42" bestFit="1" customWidth="1"/>
    <col min="3" max="16384" width="8.88671875" style="42"/>
  </cols>
  <sheetData>
    <row r="1" spans="2:3" ht="15.6" x14ac:dyDescent="0.3">
      <c r="B1" s="49" t="s">
        <v>255</v>
      </c>
    </row>
    <row r="4" spans="2:3" x14ac:dyDescent="0.3">
      <c r="B4" s="44" t="s">
        <v>253</v>
      </c>
      <c r="C4" s="48">
        <f>'P&amp;L Model'!D17</f>
        <v>4.2437563400000018</v>
      </c>
    </row>
    <row r="5" spans="2:3" x14ac:dyDescent="0.3">
      <c r="B5" s="44" t="s">
        <v>250</v>
      </c>
      <c r="C5" s="48">
        <f>'P&amp;L Model'!E7-'P&amp;L Model'!D7</f>
        <v>0.28199325799999997</v>
      </c>
    </row>
    <row r="6" spans="2:3" x14ac:dyDescent="0.3">
      <c r="B6" s="44" t="s">
        <v>251</v>
      </c>
      <c r="C6" s="48">
        <f>'P&amp;L Model'!E8-'P&amp;L Model'!D8</f>
        <v>-0.21096324199999916</v>
      </c>
    </row>
    <row r="7" spans="2:3" x14ac:dyDescent="0.3">
      <c r="B7" s="44" t="s">
        <v>252</v>
      </c>
      <c r="C7" s="48" cm="1">
        <f t="array" ref="C7">SUM('P&amp;L Model'!E10:E16-'P&amp;L Model'!D10:D16)</f>
        <v>0.97571168499999961</v>
      </c>
    </row>
    <row r="8" spans="2:3" x14ac:dyDescent="0.3">
      <c r="B8" s="44" t="s">
        <v>254</v>
      </c>
      <c r="C8" s="48">
        <f>'P&amp;L Model'!E17</f>
        <v>5.2904980409999993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Index</vt:lpstr>
      <vt:lpstr>1.1 FY2024</vt:lpstr>
      <vt:lpstr>1.2 FY2025</vt:lpstr>
      <vt:lpstr>1.3 FY2026</vt:lpstr>
      <vt:lpstr>Database</vt:lpstr>
      <vt:lpstr>P&amp;L Model</vt:lpstr>
      <vt:lpstr>Charts ---&gt;</vt:lpstr>
      <vt:lpstr>Column Chart</vt:lpstr>
      <vt:lpstr>Line chart</vt:lpstr>
      <vt:lpstr>Stacked Column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Umesh V</dc:creator>
  <cp:lastModifiedBy>Umesh V</cp:lastModifiedBy>
  <dcterms:created xsi:type="dcterms:W3CDTF">2026-08-29T10:28:39Z</dcterms:created>
  <dcterms:modified xsi:type="dcterms:W3CDTF">2026-09-16T16:45:16Z</dcterms:modified>
</cp:coreProperties>
</file>